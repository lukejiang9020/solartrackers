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30" windowWidth="15960" windowHeight="12220" firstSheet="3" activeTab="5"/>
  </bookViews>
  <sheets>
    <sheet name="Export Summary" sheetId="1" r:id="rId1"/>
    <sheet name="Sheet 1 - 12V 10Ah LFP Discharg" sheetId="2" r:id="rId2"/>
    <sheet name="Sheet 1-1 - 12V 10Ah LFP Discha" sheetId="3" r:id="rId3"/>
    <sheet name="Solar Panel Comparisons - Solar" sheetId="4" r:id="rId4"/>
    <sheet name="Riemann Sum - Midpoint Riemann " sheetId="5" r:id="rId5"/>
    <sheet name="Sheet1" sheetId="6" r:id="rId6"/>
  </sheets>
  <calcPr calcId="125725"/>
</workbook>
</file>

<file path=xl/calcChain.xml><?xml version="1.0" encoding="utf-8"?>
<calcChain xmlns="http://schemas.openxmlformats.org/spreadsheetml/2006/main">
  <c r="D54" i="6"/>
  <c r="D30"/>
  <c r="D31"/>
  <c r="D32"/>
  <c r="D33"/>
  <c r="D34"/>
  <c r="D35"/>
  <c r="D36"/>
  <c r="D37"/>
  <c r="D38"/>
  <c r="D39"/>
  <c r="D40"/>
  <c r="D41"/>
  <c r="D42"/>
  <c r="D43"/>
  <c r="D44"/>
  <c r="D45"/>
  <c r="D46"/>
  <c r="D47"/>
  <c r="D48"/>
  <c r="D49"/>
  <c r="D50"/>
  <c r="D51"/>
  <c r="D52"/>
  <c r="D53"/>
  <c r="D29"/>
  <c r="C54"/>
  <c r="C30"/>
  <c r="C31"/>
  <c r="C32"/>
  <c r="C33"/>
  <c r="C34"/>
  <c r="C35"/>
  <c r="C36"/>
  <c r="C37"/>
  <c r="C38"/>
  <c r="C39"/>
  <c r="C40"/>
  <c r="C41"/>
  <c r="C42"/>
  <c r="C43"/>
  <c r="C44"/>
  <c r="C45"/>
  <c r="C46"/>
  <c r="C47"/>
  <c r="C48"/>
  <c r="C49"/>
  <c r="C50"/>
  <c r="C51"/>
  <c r="C52"/>
  <c r="C53"/>
  <c r="C29"/>
  <c r="B54"/>
  <c r="B51"/>
  <c r="B52"/>
  <c r="B53"/>
  <c r="B30"/>
  <c r="B31"/>
  <c r="B32"/>
  <c r="B33"/>
  <c r="B34"/>
  <c r="B35"/>
  <c r="B36"/>
  <c r="B37"/>
  <c r="B38"/>
  <c r="B39"/>
  <c r="B40"/>
  <c r="B41"/>
  <c r="B42"/>
  <c r="B43"/>
  <c r="B44"/>
  <c r="B45"/>
  <c r="B46"/>
  <c r="B47"/>
  <c r="B48"/>
  <c r="B49"/>
  <c r="B50"/>
  <c r="B29"/>
  <c r="F5" i="4"/>
  <c r="F4"/>
  <c r="F3"/>
  <c r="F28"/>
  <c r="F27"/>
  <c r="F26"/>
  <c r="F10"/>
  <c r="F11"/>
  <c r="F12"/>
  <c r="F24"/>
  <c r="F23"/>
  <c r="F22"/>
  <c r="F21"/>
  <c r="F20"/>
  <c r="F19"/>
  <c r="F18" l="1"/>
  <c r="F17"/>
  <c r="F16"/>
  <c r="F15"/>
  <c r="F14"/>
  <c r="F13"/>
  <c r="F7"/>
  <c r="F8"/>
  <c r="F6"/>
  <c r="H28" i="5" a="1"/>
  <c r="H28" s="1"/>
  <c r="I28" s="1" a="1"/>
  <c r="I28" s="1"/>
  <c r="G28" i="4" s="1"/>
  <c r="C28" i="5" a="1"/>
  <c r="C28" s="1"/>
  <c r="H27" a="1"/>
  <c r="H27" s="1"/>
  <c r="C27" a="1"/>
  <c r="C27" s="1"/>
  <c r="H26" a="1"/>
  <c r="H26" s="1"/>
  <c r="C26" a="1"/>
  <c r="C26" s="1"/>
  <c r="H25" a="1"/>
  <c r="H25" s="1"/>
  <c r="H24" a="1"/>
  <c r="H24" s="1"/>
  <c r="I24" s="1" a="1"/>
  <c r="I24" s="1"/>
  <c r="G24" i="4" s="1"/>
  <c r="C24" i="5" a="1"/>
  <c r="C24" s="1"/>
  <c r="H23" a="1"/>
  <c r="H23" s="1"/>
  <c r="I23" s="1" a="1"/>
  <c r="I23" s="1"/>
  <c r="G23" i="4" s="1"/>
  <c r="C23" i="5" a="1"/>
  <c r="C23" s="1"/>
  <c r="H22" a="1"/>
  <c r="H22" s="1"/>
  <c r="I22" s="1" a="1"/>
  <c r="I22" s="1"/>
  <c r="G22" i="4" s="1"/>
  <c r="C22" i="5" a="1"/>
  <c r="C22" s="1"/>
  <c r="H21" a="1"/>
  <c r="H21" s="1"/>
  <c r="C21" a="1"/>
  <c r="C21" s="1"/>
  <c r="H20" a="1"/>
  <c r="H20" s="1"/>
  <c r="I20" s="1" a="1"/>
  <c r="I20" s="1"/>
  <c r="G20" i="4" s="1"/>
  <c r="C20" i="5" a="1"/>
  <c r="C20" s="1"/>
  <c r="H19" a="1"/>
  <c r="H19" s="1"/>
  <c r="I19" s="1" a="1"/>
  <c r="I19" s="1"/>
  <c r="C19" a="1"/>
  <c r="C19" s="1"/>
  <c r="H18" a="1"/>
  <c r="H18" s="1"/>
  <c r="I18" s="1" a="1"/>
  <c r="I18" s="1"/>
  <c r="C18" a="1"/>
  <c r="C18" s="1"/>
  <c r="H17" a="1"/>
  <c r="H17" s="1"/>
  <c r="C17" a="1"/>
  <c r="C17" s="1"/>
  <c r="H16" a="1"/>
  <c r="H16" s="1"/>
  <c r="I16" s="1" a="1"/>
  <c r="I16" s="1"/>
  <c r="C16" a="1"/>
  <c r="C16" s="1"/>
  <c r="H15" a="1"/>
  <c r="H15" s="1"/>
  <c r="I15" s="1" a="1"/>
  <c r="I15" s="1"/>
  <c r="C15" a="1"/>
  <c r="C15" s="1"/>
  <c r="H14" a="1"/>
  <c r="H14" s="1"/>
  <c r="I14" s="1" a="1"/>
  <c r="I14" s="1"/>
  <c r="C14" a="1"/>
  <c r="C14" s="1"/>
  <c r="H13" a="1"/>
  <c r="H13" s="1"/>
  <c r="C13" a="1"/>
  <c r="C13" s="1"/>
  <c r="H12" a="1"/>
  <c r="H12" s="1"/>
  <c r="I12" s="1" a="1"/>
  <c r="I12" s="1"/>
  <c r="G12" i="4" s="1"/>
  <c r="C12" i="5" a="1"/>
  <c r="C12" s="1"/>
  <c r="H11" a="1"/>
  <c r="H11" s="1"/>
  <c r="I11" s="1" a="1"/>
  <c r="I11" s="1"/>
  <c r="G11" i="4" s="1"/>
  <c r="C11" i="5" a="1"/>
  <c r="C11" s="1"/>
  <c r="H10" a="1"/>
  <c r="H10" s="1"/>
  <c r="I10" s="1" a="1"/>
  <c r="I10" s="1"/>
  <c r="C10" a="1"/>
  <c r="C10" s="1"/>
  <c r="H9" a="1"/>
  <c r="H9" s="1"/>
  <c r="H8" a="1"/>
  <c r="H8" s="1"/>
  <c r="C8" a="1"/>
  <c r="C8" s="1"/>
  <c r="H7" a="1"/>
  <c r="H7" s="1"/>
  <c r="I7" s="1" a="1"/>
  <c r="I7" s="1"/>
  <c r="C7" a="1"/>
  <c r="C7" s="1"/>
  <c r="H6" a="1"/>
  <c r="H6" s="1"/>
  <c r="C6" a="1"/>
  <c r="C6" s="1"/>
  <c r="H5" a="1"/>
  <c r="H5" s="1"/>
  <c r="C5" a="1"/>
  <c r="C5" s="1"/>
  <c r="H4" a="1"/>
  <c r="H4" s="1"/>
  <c r="I4" s="1" a="1"/>
  <c r="I4" s="1"/>
  <c r="G4" i="4" s="1"/>
  <c r="C4" i="5" a="1"/>
  <c r="C4" s="1"/>
  <c r="C31" s="1" a="1"/>
  <c r="C31" s="1"/>
  <c r="C32" i="4" a="1"/>
  <c r="C32" s="1"/>
  <c r="G103" i="3" a="1"/>
  <c r="G103" s="1"/>
  <c r="G102" a="1"/>
  <c r="G102" s="1"/>
  <c r="G101" a="1"/>
  <c r="G101" s="1"/>
  <c r="G100" a="1"/>
  <c r="G100" s="1"/>
  <c r="G99" a="1"/>
  <c r="G99" s="1"/>
  <c r="G98" a="1"/>
  <c r="G98" s="1"/>
  <c r="G97" a="1"/>
  <c r="G97" s="1"/>
  <c r="G96" a="1"/>
  <c r="G96" s="1"/>
  <c r="G95" a="1"/>
  <c r="G95" s="1"/>
  <c r="G94" a="1"/>
  <c r="G94" s="1"/>
  <c r="G93" a="1"/>
  <c r="G93" s="1"/>
  <c r="G92" a="1"/>
  <c r="G92" s="1"/>
  <c r="G91" a="1"/>
  <c r="G91" s="1"/>
  <c r="G90" a="1"/>
  <c r="G90" s="1"/>
  <c r="G89" a="1"/>
  <c r="G89" s="1"/>
  <c r="G88" a="1"/>
  <c r="G88" s="1"/>
  <c r="G87" a="1"/>
  <c r="G87" s="1"/>
  <c r="G86" a="1"/>
  <c r="G86" s="1"/>
  <c r="G85" a="1"/>
  <c r="G85" s="1"/>
  <c r="G84" a="1"/>
  <c r="G84" s="1"/>
  <c r="G83" a="1"/>
  <c r="G83" s="1"/>
  <c r="G82" a="1"/>
  <c r="G82" s="1"/>
  <c r="G81" a="1"/>
  <c r="G81" s="1"/>
  <c r="G80" a="1"/>
  <c r="G80" s="1"/>
  <c r="G79" a="1"/>
  <c r="G79" s="1"/>
  <c r="G78" a="1"/>
  <c r="G78" s="1"/>
  <c r="G77" a="1"/>
  <c r="G77" s="1"/>
  <c r="G76" a="1"/>
  <c r="G76" s="1"/>
  <c r="G75" a="1"/>
  <c r="G75" s="1"/>
  <c r="G74" a="1"/>
  <c r="G74" s="1"/>
  <c r="G73" a="1"/>
  <c r="G73" s="1"/>
  <c r="G72" a="1"/>
  <c r="G72" s="1"/>
  <c r="G71" a="1"/>
  <c r="G71" s="1"/>
  <c r="G70" a="1"/>
  <c r="G70" s="1"/>
  <c r="G69" a="1"/>
  <c r="G69" s="1"/>
  <c r="G68" a="1"/>
  <c r="G68" s="1"/>
  <c r="G67" a="1"/>
  <c r="G67" s="1"/>
  <c r="G66" a="1"/>
  <c r="G66" s="1"/>
  <c r="G65" a="1"/>
  <c r="G65" s="1"/>
  <c r="G64" a="1"/>
  <c r="G64" s="1"/>
  <c r="G63" a="1"/>
  <c r="G63" s="1"/>
  <c r="G62" a="1"/>
  <c r="G62" s="1"/>
  <c r="G61" a="1"/>
  <c r="G61" s="1"/>
  <c r="G60" a="1"/>
  <c r="G60" s="1"/>
  <c r="G59" a="1"/>
  <c r="G59" s="1"/>
  <c r="G58" a="1"/>
  <c r="G58" s="1"/>
  <c r="G57" a="1"/>
  <c r="G57" s="1"/>
  <c r="G56" a="1"/>
  <c r="G56" s="1"/>
  <c r="G55" a="1"/>
  <c r="G55" s="1"/>
  <c r="G54" a="1"/>
  <c r="G54" s="1"/>
  <c r="G53" a="1"/>
  <c r="G53" s="1"/>
  <c r="G52" a="1"/>
  <c r="G52" s="1"/>
  <c r="G51" a="1"/>
  <c r="G51" s="1"/>
  <c r="G50" a="1"/>
  <c r="G50" s="1"/>
  <c r="G49" a="1"/>
  <c r="G49" s="1"/>
  <c r="G48" a="1"/>
  <c r="G48" s="1"/>
  <c r="G47" a="1"/>
  <c r="G47" s="1"/>
  <c r="G46" a="1"/>
  <c r="G46" s="1"/>
  <c r="G45" a="1"/>
  <c r="G45" s="1"/>
  <c r="G44" a="1"/>
  <c r="G44" s="1"/>
  <c r="G43" a="1"/>
  <c r="G43" s="1"/>
  <c r="G42" a="1"/>
  <c r="G42" s="1"/>
  <c r="G41" a="1"/>
  <c r="G41" s="1"/>
  <c r="G40" a="1"/>
  <c r="G40" s="1"/>
  <c r="G39" a="1"/>
  <c r="G39" s="1"/>
  <c r="G38" a="1"/>
  <c r="G38" s="1"/>
  <c r="G37" a="1"/>
  <c r="G37" s="1"/>
  <c r="G36" a="1"/>
  <c r="G36" s="1"/>
  <c r="G35" a="1"/>
  <c r="G35" s="1"/>
  <c r="G34" a="1"/>
  <c r="G34" s="1"/>
  <c r="G33" a="1"/>
  <c r="G33" s="1"/>
  <c r="G32" a="1"/>
  <c r="G32" s="1"/>
  <c r="G31" a="1"/>
  <c r="G31" s="1"/>
  <c r="G30" a="1"/>
  <c r="G30" s="1"/>
  <c r="G29" a="1"/>
  <c r="G29" s="1"/>
  <c r="G28" a="1"/>
  <c r="G28" s="1"/>
  <c r="G27" a="1"/>
  <c r="G27" s="1"/>
  <c r="G26" a="1"/>
  <c r="G26" s="1"/>
  <c r="G25" a="1"/>
  <c r="G25" s="1"/>
  <c r="G24" a="1"/>
  <c r="G24" s="1"/>
  <c r="G23" a="1"/>
  <c r="G23" s="1"/>
  <c r="G22" a="1"/>
  <c r="G22" s="1"/>
  <c r="G21" a="1"/>
  <c r="G21" s="1"/>
  <c r="G20" a="1"/>
  <c r="G20" s="1"/>
  <c r="G19" a="1"/>
  <c r="G19" s="1"/>
  <c r="G18" a="1"/>
  <c r="G18" s="1"/>
  <c r="G17" a="1"/>
  <c r="G17" s="1"/>
  <c r="G16" a="1"/>
  <c r="G16" s="1"/>
  <c r="G15" a="1"/>
  <c r="G15" s="1"/>
  <c r="G14" a="1"/>
  <c r="G14" s="1"/>
  <c r="G13" a="1"/>
  <c r="G13" s="1"/>
  <c r="G12" a="1"/>
  <c r="G12" s="1"/>
  <c r="G11" a="1"/>
  <c r="G11" s="1"/>
  <c r="G10" a="1"/>
  <c r="G10" s="1"/>
  <c r="G9" a="1"/>
  <c r="G9" s="1"/>
  <c r="G8" a="1"/>
  <c r="G8" s="1"/>
  <c r="G7" a="1"/>
  <c r="G7" s="1"/>
  <c r="G6" a="1"/>
  <c r="G6" s="1"/>
  <c r="G5" a="1"/>
  <c r="G5" s="1"/>
  <c r="G4" a="1"/>
  <c r="G4" s="1"/>
  <c r="G3" a="1"/>
  <c r="G3" s="1"/>
  <c r="I6" i="5" l="1" a="1"/>
  <c r="I6" s="1"/>
  <c r="G6" i="4" s="1"/>
  <c r="I27" i="5" a="1"/>
  <c r="I27" s="1"/>
  <c r="G27" i="4" s="1"/>
  <c r="I5" i="5" a="1"/>
  <c r="I5" s="1"/>
  <c r="G5" i="4" s="1"/>
  <c r="I26" i="5" a="1"/>
  <c r="I26" s="1"/>
  <c r="G26" i="4" s="1"/>
  <c r="I13" i="5" a="1"/>
  <c r="I13" s="1"/>
  <c r="I17" a="1"/>
  <c r="I17" s="1"/>
  <c r="I21" a="1"/>
  <c r="I21" s="1"/>
  <c r="G21" i="4" s="1"/>
  <c r="I8" i="5" a="1"/>
  <c r="I8" s="1"/>
  <c r="G7" i="4"/>
  <c r="G19"/>
  <c r="G18"/>
  <c r="G17"/>
  <c r="G10"/>
  <c r="G16"/>
  <c r="G15"/>
  <c r="G14"/>
  <c r="G13"/>
  <c r="G8"/>
  <c r="G31" l="1"/>
  <c r="G32" s="1"/>
  <c r="I31" i="5" a="1"/>
  <c r="I31" s="1"/>
  <c r="G33" i="4"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xmlns:xda="http://schemas.microsoft.com/office/spreadsheetml/2017/dynamicarray">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<sst xmlns="http://schemas.openxmlformats.org/spreadsheetml/2006/main" count="54" uniqueCount="38">
  <si>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</si>
  <si>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</si>
  <si>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</si>
  <si>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</si>
  <si>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</si>
  <si>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12V 10Ah LFP Discharge Curve @ 0.1C</t>
  </si>
  <si>
    <t>Sheet 1 - 12V 10Ah LFP Discharg</t>
  </si>
  <si>
    <t>07-14-2026 (Ah)</t>
  </si>
  <si>
    <t>Voltage (V)</t>
  </si>
  <si>
    <t>07-16-2026 (Ah)</t>
  </si>
  <si>
    <t>07-17-2026 (Ah)</t>
  </si>
  <si>
    <t>07/16/26 re-test</t>
  </si>
  <si>
    <t>Sheet 1-1</t>
  </si>
  <si>
    <t>Sheet 1-1 - 12V 10Ah LFP Discha</t>
  </si>
  <si>
    <t>Capacity (Ah)</t>
  </si>
  <si>
    <t>Solar Panel Comparisons</t>
  </si>
  <si>
    <t>Solar Panel Comparisons (Fixed point vs. solar tracking)</t>
  </si>
  <si>
    <t>Solar Panel Comparisons - Solar</t>
  </si>
  <si>
    <t>Time of Day</t>
  </si>
  <si>
    <t>Fixed (A)</t>
  </si>
  <si>
    <t>Tracker On (A)</t>
  </si>
  <si>
    <t>Energy (Ah)</t>
  </si>
  <si>
    <t>Current w/o light</t>
  </si>
  <si>
    <t>Current w/ light</t>
  </si>
  <si>
    <t>Average</t>
  </si>
  <si>
    <t>Riemann Sum</t>
  </si>
  <si>
    <t>Midpoint Riemann Sums (</t>
  </si>
  <si>
    <t xml:space="preserve">Riemann Sum - Midpoint Riemann </t>
  </si>
  <si>
    <t>Average * Time</t>
  </si>
  <si>
    <t>Interval (hr)</t>
  </si>
  <si>
    <t>Light off (Ah)</t>
  </si>
  <si>
    <t>Light on (Ah)</t>
  </si>
  <si>
    <t>Current by Solar</t>
  </si>
  <si>
    <t>Dual Axis</t>
  </si>
  <si>
    <t>Single Axis</t>
  </si>
  <si>
    <t>AVERAGES</t>
  </si>
  <si>
    <t>SUM</t>
  </si>
  <si>
    <r>
      <t>Fixed at 34</t>
    </r>
    <r>
      <rPr>
        <sz val="9"/>
        <color indexed="8"/>
        <rFont val="Helvetica Neue"/>
      </rPr>
      <t xml:space="preserve"> Degrees</t>
    </r>
  </si>
</sst>
</file>

<file path=xl/styles.xml><?xml version="1.0" encoding="utf-8"?>
<styleSheet xmlns="http://schemas.openxmlformats.org/spreadsheetml/2006/main">
  <fonts count="8">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b/>
      <sz val="10"/>
      <color indexed="8"/>
      <name val="Helvetica"/>
    </font>
    <font>
      <sz val="10"/>
      <color indexed="8"/>
      <name val="Helvetica"/>
    </font>
    <font>
      <sz val="9"/>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alignment vertical="top" wrapText="1"/>
    </xf>
  </cellStyleXfs>
  <cellXfs count="49">
    <xf numFmtId="0" fontId="0" fillId="0" borderId="0" xfId="0" applyFont="1" applyAlignment="1">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pplyFont="1" applyAlignment="1">
      <alignment vertical="top" wrapText="1"/>
    </xf>
    <xf numFmtId="0" fontId="4" fillId="4" borderId="1" xfId="0" applyFont="1" applyFill="1" applyBorder="1" applyAlignment="1">
      <alignment vertical="top" wrapText="1"/>
    </xf>
    <xf numFmtId="49" fontId="5" fillId="4" borderId="1" xfId="0" applyNumberFormat="1" applyFont="1" applyFill="1" applyBorder="1" applyAlignment="1">
      <alignment horizontal="center" vertical="top" wrapText="1"/>
    </xf>
    <xf numFmtId="49" fontId="4" fillId="4" borderId="1" xfId="0" applyNumberFormat="1" applyFont="1" applyFill="1" applyBorder="1" applyAlignment="1">
      <alignment horizontal="center" vertical="top" wrapText="1"/>
    </xf>
    <xf numFmtId="0" fontId="4" fillId="5" borderId="2" xfId="0" applyFont="1" applyFill="1" applyBorder="1" applyAlignment="1">
      <alignment vertical="top" wrapText="1"/>
    </xf>
    <xf numFmtId="0" fontId="0" fillId="0" borderId="3" xfId="0" applyFont="1" applyBorder="1" applyAlignment="1">
      <alignment vertical="top" wrapText="1"/>
    </xf>
    <xf numFmtId="0" fontId="0" fillId="0" borderId="4" xfId="0" applyNumberFormat="1" applyFont="1" applyBorder="1" applyAlignment="1">
      <alignment vertical="top" wrapText="1"/>
    </xf>
    <xf numFmtId="0" fontId="0" fillId="0" borderId="4" xfId="0" applyFont="1" applyBorder="1" applyAlignment="1">
      <alignment vertical="top" wrapText="1"/>
    </xf>
    <xf numFmtId="0" fontId="4" fillId="5" borderId="5" xfId="0" applyFont="1" applyFill="1" applyBorder="1" applyAlignment="1">
      <alignment vertical="top" wrapText="1"/>
    </xf>
    <xf numFmtId="0" fontId="0" fillId="0" borderId="6" xfId="0" applyFont="1" applyBorder="1" applyAlignment="1">
      <alignment vertical="top" wrapText="1"/>
    </xf>
    <xf numFmtId="0" fontId="0" fillId="0" borderId="7" xfId="0" applyNumberFormat="1" applyFont="1" applyBorder="1" applyAlignment="1">
      <alignment vertical="top" wrapText="1"/>
    </xf>
    <xf numFmtId="0" fontId="0" fillId="0" borderId="7" xfId="0" applyFont="1" applyBorder="1" applyAlignment="1">
      <alignment vertical="top" wrapText="1"/>
    </xf>
    <xf numFmtId="0" fontId="4" fillId="0" borderId="7" xfId="0" applyNumberFormat="1" applyFont="1" applyBorder="1" applyAlignment="1">
      <alignment vertical="top" wrapText="1"/>
    </xf>
    <xf numFmtId="49" fontId="0" fillId="0" borderId="6" xfId="0" applyNumberFormat="1" applyFont="1" applyBorder="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5" fillId="4" borderId="1" xfId="0" applyFont="1" applyFill="1" applyBorder="1" applyAlignment="1">
      <alignment horizontal="center" vertical="top" wrapText="1"/>
    </xf>
    <xf numFmtId="0" fontId="5" fillId="5" borderId="2" xfId="0" applyFont="1" applyFill="1" applyBorder="1" applyAlignment="1">
      <alignment vertical="top" wrapText="1"/>
    </xf>
    <xf numFmtId="18" fontId="6" fillId="0" borderId="3" xfId="0" applyNumberFormat="1" applyFont="1" applyBorder="1" applyAlignment="1">
      <alignment vertical="top" wrapText="1"/>
    </xf>
    <xf numFmtId="0" fontId="6" fillId="0" borderId="4" xfId="0" applyNumberFormat="1" applyFont="1" applyBorder="1" applyAlignment="1">
      <alignment vertical="top" wrapText="1"/>
    </xf>
    <xf numFmtId="18" fontId="0" fillId="0" borderId="4" xfId="0" applyNumberFormat="1" applyFont="1" applyBorder="1" applyAlignment="1">
      <alignment vertical="top" wrapText="1"/>
    </xf>
    <xf numFmtId="0" fontId="6" fillId="0" borderId="4" xfId="0" applyFont="1" applyBorder="1" applyAlignment="1">
      <alignment vertical="top" wrapText="1"/>
    </xf>
    <xf numFmtId="0" fontId="5" fillId="5" borderId="5" xfId="0" applyFont="1" applyFill="1" applyBorder="1" applyAlignment="1">
      <alignment vertical="top" wrapText="1"/>
    </xf>
    <xf numFmtId="18" fontId="6" fillId="0" borderId="6" xfId="0" applyNumberFormat="1" applyFont="1" applyBorder="1" applyAlignment="1">
      <alignment vertical="top" wrapText="1"/>
    </xf>
    <xf numFmtId="0" fontId="6" fillId="0" borderId="7" xfId="0" applyNumberFormat="1" applyFont="1" applyBorder="1" applyAlignment="1">
      <alignment vertical="top" wrapText="1"/>
    </xf>
    <xf numFmtId="0" fontId="6" fillId="0" borderId="7" xfId="0" applyFont="1" applyBorder="1" applyAlignment="1">
      <alignment vertical="top" wrapText="1"/>
    </xf>
    <xf numFmtId="18" fontId="0" fillId="0" borderId="6" xfId="0" applyNumberFormat="1" applyFont="1" applyBorder="1" applyAlignment="1">
      <alignment vertical="top" wrapText="1"/>
    </xf>
    <xf numFmtId="49" fontId="5" fillId="5" borderId="5" xfId="0" applyNumberFormat="1" applyFont="1" applyFill="1" applyBorder="1" applyAlignment="1">
      <alignment vertical="top" wrapText="1"/>
    </xf>
    <xf numFmtId="0" fontId="6" fillId="0" borderId="6" xfId="0" applyFont="1" applyBorder="1" applyAlignment="1">
      <alignment vertical="top" wrapText="1"/>
    </xf>
    <xf numFmtId="49" fontId="4" fillId="5" borderId="5" xfId="0" applyNumberFormat="1" applyFont="1" applyFill="1" applyBorder="1" applyAlignment="1">
      <alignment vertical="top" wrapText="1"/>
    </xf>
    <xf numFmtId="0" fontId="0" fillId="0" borderId="0" xfId="0" applyNumberFormat="1" applyFont="1" applyAlignment="1">
      <alignment vertical="top" wrapText="1"/>
    </xf>
    <xf numFmtId="0" fontId="4" fillId="4" borderId="1" xfId="0" applyFont="1" applyFill="1" applyBorder="1" applyAlignment="1">
      <alignment horizontal="center" vertical="top" wrapText="1"/>
    </xf>
    <xf numFmtId="0" fontId="6" fillId="0" borderId="3" xfId="0" applyNumberFormat="1" applyFont="1" applyBorder="1" applyAlignment="1">
      <alignment vertical="top" wrapText="1"/>
    </xf>
    <xf numFmtId="0" fontId="6" fillId="0" borderId="6" xfId="0" applyNumberFormat="1" applyFont="1" applyBorder="1" applyAlignment="1">
      <alignment vertical="top" wrapText="1"/>
    </xf>
    <xf numFmtId="0" fontId="0" fillId="0" borderId="6" xfId="0" applyNumberFormat="1" applyFont="1" applyBorder="1" applyAlignment="1">
      <alignment vertical="top" wrapText="1"/>
    </xf>
    <xf numFmtId="0" fontId="0" fillId="0" borderId="0" xfId="0" applyAlignment="1">
      <alignment horizontal="center" vertical="top" wrapText="1"/>
    </xf>
    <xf numFmtId="18" fontId="6" fillId="0" borderId="3" xfId="0" applyNumberFormat="1" applyFont="1" applyBorder="1" applyAlignment="1">
      <alignment horizontal="center" vertical="top" wrapText="1"/>
    </xf>
    <xf numFmtId="0" fontId="0" fillId="0" borderId="0" xfId="0" applyFont="1" applyAlignment="1">
      <alignment horizontal="center" vertical="top" wrapText="1"/>
    </xf>
    <xf numFmtId="18" fontId="6" fillId="0" borderId="6" xfId="0" applyNumberFormat="1" applyFont="1" applyBorder="1" applyAlignment="1">
      <alignment horizontal="center" vertical="top" wrapText="1"/>
    </xf>
    <xf numFmtId="49" fontId="6" fillId="0" borderId="1" xfId="0" applyNumberFormat="1" applyFont="1" applyFill="1" applyBorder="1" applyAlignment="1">
      <alignment horizontal="center" vertical="top" wrapText="1"/>
    </xf>
    <xf numFmtId="0" fontId="0" fillId="0" borderId="0" xfId="0" applyFont="1" applyFill="1" applyAlignment="1">
      <alignment horizontal="center" vertical="top" wrapText="1"/>
    </xf>
    <xf numFmtId="0" fontId="1" fillId="0" borderId="0" xfId="0" applyFont="1" applyAlignment="1">
      <alignment horizontal="left" vertical="top" wrapText="1"/>
    </xf>
    <xf numFmtId="0" fontId="0" fillId="0" borderId="0" xfId="0" applyFont="1" applyAlignment="1">
      <alignment vertical="top"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EFFFE"/>
      <rgbColor rgb="FFB8B8B8"/>
      <rgbColor rgb="FF919191"/>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9.1001100000000015E-2"/>
          <c:y val="0.12368000000000012"/>
          <c:w val="0.89403199999999949"/>
          <c:h val="0.8103369999999982"/>
        </c:manualLayout>
      </c:layout>
      <c:scatterChart>
        <c:scatterStyle val="lineMarker"/>
        <c:ser>
          <c:idx val="0"/>
          <c:order val="0"/>
          <c:tx>
            <c:strRef>
              <c:f>'Sheet 1 - 12V 10Ah LFP Discharg'!$C$2</c:f>
              <c:strCache>
                <c:ptCount val="1"/>
                <c:pt idx="0">
                  <c:v>07-14-2026 (Ah)</c:v>
                </c:pt>
              </c:strCache>
            </c:strRef>
          </c:tx>
          <c:spPr>
            <a:ln w="38100" cap="flat">
              <a:solidFill>
                <a:schemeClr val="accent1"/>
              </a:solidFill>
              <a:prstDash val="solid"/>
              <a:miter lim="400000"/>
            </a:ln>
            <a:effectLst/>
          </c:spPr>
          <c:marker>
            <c:symbol val="none"/>
          </c:marker>
          <c:xVal>
            <c:numRef>
              <c:f>'Sheet 1 - 12V 10Ah LFP Discharg'!$C$3:$C$103</c:f>
              <c:numCache>
                <c:formatCode>General</c:formatCode>
                <c:ptCount val="101"/>
                <c:pt idx="0">
                  <c:v>2E-3</c:v>
                </c:pt>
                <c:pt idx="1">
                  <c:v>3.0000000000000001E-3</c:v>
                </c:pt>
                <c:pt idx="2">
                  <c:v>5.0000000000000001E-3</c:v>
                </c:pt>
                <c:pt idx="3">
                  <c:v>8.0000000000000002E-3</c:v>
                </c:pt>
                <c:pt idx="4">
                  <c:v>1.0999999999999999E-2</c:v>
                </c:pt>
                <c:pt idx="5">
                  <c:v>1.7000000000000001E-2</c:v>
                </c:pt>
                <c:pt idx="6">
                  <c:v>2.1000000000000001E-2</c:v>
                </c:pt>
                <c:pt idx="7">
                  <c:v>2.9000000000000001E-2</c:v>
                </c:pt>
                <c:pt idx="8">
                  <c:v>5.2999999999999999E-2</c:v>
                </c:pt>
                <c:pt idx="9">
                  <c:v>0.38400000000000001</c:v>
                </c:pt>
                <c:pt idx="10">
                  <c:v>0.48399999999999999</c:v>
                </c:pt>
                <c:pt idx="11">
                  <c:v>0.53700000000000003</c:v>
                </c:pt>
                <c:pt idx="12">
                  <c:v>0.59399999999999997</c:v>
                </c:pt>
                <c:pt idx="13">
                  <c:v>0.63300000000000001</c:v>
                </c:pt>
                <c:pt idx="14">
                  <c:v>0.69199999999999995</c:v>
                </c:pt>
                <c:pt idx="15">
                  <c:v>0.72399999999999998</c:v>
                </c:pt>
                <c:pt idx="16">
                  <c:v>0.76300000000000001</c:v>
                </c:pt>
                <c:pt idx="17">
                  <c:v>0.79400000000000004</c:v>
                </c:pt>
                <c:pt idx="18">
                  <c:v>0.84699999999999998</c:v>
                </c:pt>
                <c:pt idx="19">
                  <c:v>0.91400000000000003</c:v>
                </c:pt>
                <c:pt idx="20">
                  <c:v>0.998</c:v>
                </c:pt>
                <c:pt idx="21">
                  <c:v>1.2170000000000001</c:v>
                </c:pt>
                <c:pt idx="22">
                  <c:v>1.359</c:v>
                </c:pt>
                <c:pt idx="23">
                  <c:v>1.7769999999999999</c:v>
                </c:pt>
                <c:pt idx="24">
                  <c:v>2.66</c:v>
                </c:pt>
                <c:pt idx="25">
                  <c:v>3.4510000000000001</c:v>
                </c:pt>
                <c:pt idx="26">
                  <c:v>3.8220000000000001</c:v>
                </c:pt>
                <c:pt idx="27">
                  <c:v>4.1619999999999999</c:v>
                </c:pt>
                <c:pt idx="28">
                  <c:v>4.3280000000000003</c:v>
                </c:pt>
                <c:pt idx="29">
                  <c:v>4.5149999999999997</c:v>
                </c:pt>
                <c:pt idx="30">
                  <c:v>4.6269999999999998</c:v>
                </c:pt>
                <c:pt idx="31">
                  <c:v>4.7249999999999996</c:v>
                </c:pt>
                <c:pt idx="32">
                  <c:v>4.8040000000000003</c:v>
                </c:pt>
                <c:pt idx="33">
                  <c:v>4.9139999999999997</c:v>
                </c:pt>
                <c:pt idx="34">
                  <c:v>5.0069999999999997</c:v>
                </c:pt>
                <c:pt idx="35">
                  <c:v>5.1390000000000002</c:v>
                </c:pt>
                <c:pt idx="36">
                  <c:v>5.21</c:v>
                </c:pt>
                <c:pt idx="37">
                  <c:v>5.28</c:v>
                </c:pt>
                <c:pt idx="38">
                  <c:v>5.3849999999999998</c:v>
                </c:pt>
                <c:pt idx="39">
                  <c:v>5.4669999999999996</c:v>
                </c:pt>
                <c:pt idx="40">
                  <c:v>5.593</c:v>
                </c:pt>
                <c:pt idx="41">
                  <c:v>5.718</c:v>
                </c:pt>
                <c:pt idx="42">
                  <c:v>5.7670000000000003</c:v>
                </c:pt>
                <c:pt idx="43">
                  <c:v>5.8689999999999998</c:v>
                </c:pt>
                <c:pt idx="44">
                  <c:v>5.9660000000000002</c:v>
                </c:pt>
                <c:pt idx="45">
                  <c:v>6.0460000000000003</c:v>
                </c:pt>
                <c:pt idx="46">
                  <c:v>6.1070000000000002</c:v>
                </c:pt>
                <c:pt idx="47">
                  <c:v>6.1710000000000003</c:v>
                </c:pt>
                <c:pt idx="48">
                  <c:v>6.2309999999999999</c:v>
                </c:pt>
                <c:pt idx="49">
                  <c:v>6.2919999999999998</c:v>
                </c:pt>
                <c:pt idx="50">
                  <c:v>6.343</c:v>
                </c:pt>
                <c:pt idx="51">
                  <c:v>6.4020000000000001</c:v>
                </c:pt>
                <c:pt idx="52">
                  <c:v>6.46</c:v>
                </c:pt>
                <c:pt idx="53">
                  <c:v>6.5449999999999999</c:v>
                </c:pt>
                <c:pt idx="54">
                  <c:v>6.6150000000000002</c:v>
                </c:pt>
                <c:pt idx="55">
                  <c:v>6.6680000000000001</c:v>
                </c:pt>
                <c:pt idx="56">
                  <c:v>6.7</c:v>
                </c:pt>
                <c:pt idx="57">
                  <c:v>6.7569999999999997</c:v>
                </c:pt>
                <c:pt idx="58">
                  <c:v>6.798</c:v>
                </c:pt>
                <c:pt idx="59">
                  <c:v>6.8369999999999997</c:v>
                </c:pt>
                <c:pt idx="60">
                  <c:v>6.8789999999999996</c:v>
                </c:pt>
                <c:pt idx="61">
                  <c:v>6.9169999999999998</c:v>
                </c:pt>
                <c:pt idx="62">
                  <c:v>6.984</c:v>
                </c:pt>
                <c:pt idx="63">
                  <c:v>7.09</c:v>
                </c:pt>
                <c:pt idx="64">
                  <c:v>7.2569999999999997</c:v>
                </c:pt>
                <c:pt idx="65">
                  <c:v>7.3559999999999999</c:v>
                </c:pt>
                <c:pt idx="66">
                  <c:v>7.4130000000000003</c:v>
                </c:pt>
                <c:pt idx="67">
                  <c:v>7.5110000000000001</c:v>
                </c:pt>
                <c:pt idx="68">
                  <c:v>7.56</c:v>
                </c:pt>
                <c:pt idx="69">
                  <c:v>7.5940000000000003</c:v>
                </c:pt>
                <c:pt idx="70">
                  <c:v>7.633</c:v>
                </c:pt>
                <c:pt idx="71">
                  <c:v>7.6580000000000004</c:v>
                </c:pt>
                <c:pt idx="72">
                  <c:v>7.6849999999999996</c:v>
                </c:pt>
                <c:pt idx="73">
                  <c:v>7.7110000000000003</c:v>
                </c:pt>
                <c:pt idx="74">
                  <c:v>7.73</c:v>
                </c:pt>
                <c:pt idx="75">
                  <c:v>7.7469999999999999</c:v>
                </c:pt>
                <c:pt idx="76">
                  <c:v>7.7569999999999997</c:v>
                </c:pt>
                <c:pt idx="77">
                  <c:v>7.7679999999999998</c:v>
                </c:pt>
                <c:pt idx="78">
                  <c:v>7.78</c:v>
                </c:pt>
                <c:pt idx="79">
                  <c:v>7.7939999999999996</c:v>
                </c:pt>
                <c:pt idx="80">
                  <c:v>7.8010000000000002</c:v>
                </c:pt>
                <c:pt idx="81">
                  <c:v>7.8120000000000003</c:v>
                </c:pt>
                <c:pt idx="82">
                  <c:v>7.8209999999999997</c:v>
                </c:pt>
                <c:pt idx="83">
                  <c:v>7.8330000000000002</c:v>
                </c:pt>
                <c:pt idx="84">
                  <c:v>7.8369999999999997</c:v>
                </c:pt>
                <c:pt idx="85">
                  <c:v>7.8490000000000002</c:v>
                </c:pt>
                <c:pt idx="86">
                  <c:v>7.8579999999999997</c:v>
                </c:pt>
                <c:pt idx="87">
                  <c:v>7.867</c:v>
                </c:pt>
                <c:pt idx="88">
                  <c:v>7.8769999999999998</c:v>
                </c:pt>
                <c:pt idx="89">
                  <c:v>7.8849999999999998</c:v>
                </c:pt>
                <c:pt idx="90">
                  <c:v>7.891</c:v>
                </c:pt>
                <c:pt idx="91">
                  <c:v>7.899</c:v>
                </c:pt>
                <c:pt idx="92">
                  <c:v>7.9039999999999999</c:v>
                </c:pt>
                <c:pt idx="93">
                  <c:v>7.9139999999999997</c:v>
                </c:pt>
                <c:pt idx="94">
                  <c:v>7.9210000000000003</c:v>
                </c:pt>
                <c:pt idx="95">
                  <c:v>7.9290000000000003</c:v>
                </c:pt>
                <c:pt idx="96">
                  <c:v>7.9359999999999999</c:v>
                </c:pt>
                <c:pt idx="97">
                  <c:v>7.9459999999999997</c:v>
                </c:pt>
                <c:pt idx="98">
                  <c:v>7.9530000000000003</c:v>
                </c:pt>
                <c:pt idx="99">
                  <c:v>7.9610000000000003</c:v>
                </c:pt>
                <c:pt idx="100">
                  <c:v>7.9690000000000003</c:v>
                </c:pt>
              </c:numCache>
            </c:numRef>
          </c:xVal>
          <c:yVal>
            <c:numRef>
              <c:f>'Sheet 1 - 12V 10Ah LFP Discharg'!$D$3:$D$103</c:f>
              <c:numCache>
                <c:formatCode>General</c:formatCode>
                <c:ptCount val="101"/>
                <c:pt idx="0">
                  <c:v>13.01</c:v>
                </c:pt>
                <c:pt idx="1">
                  <c:v>13</c:v>
                </c:pt>
                <c:pt idx="2">
                  <c:v>12.99</c:v>
                </c:pt>
                <c:pt idx="3">
                  <c:v>12.98</c:v>
                </c:pt>
                <c:pt idx="4">
                  <c:v>12.97</c:v>
                </c:pt>
                <c:pt idx="5">
                  <c:v>12.96</c:v>
                </c:pt>
                <c:pt idx="6">
                  <c:v>12.95</c:v>
                </c:pt>
                <c:pt idx="7">
                  <c:v>12.94</c:v>
                </c:pt>
                <c:pt idx="8">
                  <c:v>12.93</c:v>
                </c:pt>
                <c:pt idx="9">
                  <c:v>12.92</c:v>
                </c:pt>
                <c:pt idx="10">
                  <c:v>12.91</c:v>
                </c:pt>
                <c:pt idx="11">
                  <c:v>12.9</c:v>
                </c:pt>
                <c:pt idx="12">
                  <c:v>12.89</c:v>
                </c:pt>
                <c:pt idx="13">
                  <c:v>12.88</c:v>
                </c:pt>
                <c:pt idx="14">
                  <c:v>12.87</c:v>
                </c:pt>
                <c:pt idx="15">
                  <c:v>12.86</c:v>
                </c:pt>
                <c:pt idx="16">
                  <c:v>12.85</c:v>
                </c:pt>
                <c:pt idx="17">
                  <c:v>12.84</c:v>
                </c:pt>
                <c:pt idx="18">
                  <c:v>12.83</c:v>
                </c:pt>
                <c:pt idx="19">
                  <c:v>12.82</c:v>
                </c:pt>
                <c:pt idx="20">
                  <c:v>12.81</c:v>
                </c:pt>
                <c:pt idx="21">
                  <c:v>12.8</c:v>
                </c:pt>
                <c:pt idx="22">
                  <c:v>12.79</c:v>
                </c:pt>
                <c:pt idx="23">
                  <c:v>12.78</c:v>
                </c:pt>
                <c:pt idx="24">
                  <c:v>12.77</c:v>
                </c:pt>
                <c:pt idx="25">
                  <c:v>12.76</c:v>
                </c:pt>
                <c:pt idx="26">
                  <c:v>12.75</c:v>
                </c:pt>
                <c:pt idx="27">
                  <c:v>12.74</c:v>
                </c:pt>
                <c:pt idx="28">
                  <c:v>12.73</c:v>
                </c:pt>
                <c:pt idx="29">
                  <c:v>12.72</c:v>
                </c:pt>
                <c:pt idx="30">
                  <c:v>12.71</c:v>
                </c:pt>
                <c:pt idx="31">
                  <c:v>12.7</c:v>
                </c:pt>
                <c:pt idx="32">
                  <c:v>12.69</c:v>
                </c:pt>
                <c:pt idx="33">
                  <c:v>12.68</c:v>
                </c:pt>
                <c:pt idx="34">
                  <c:v>12.67</c:v>
                </c:pt>
                <c:pt idx="35">
                  <c:v>12.66</c:v>
                </c:pt>
                <c:pt idx="36">
                  <c:v>12.65</c:v>
                </c:pt>
                <c:pt idx="37">
                  <c:v>12.64</c:v>
                </c:pt>
                <c:pt idx="38">
                  <c:v>12.63</c:v>
                </c:pt>
                <c:pt idx="39">
                  <c:v>12.62</c:v>
                </c:pt>
                <c:pt idx="40">
                  <c:v>12.61</c:v>
                </c:pt>
                <c:pt idx="41">
                  <c:v>12.6</c:v>
                </c:pt>
                <c:pt idx="42">
                  <c:v>12.59</c:v>
                </c:pt>
                <c:pt idx="43">
                  <c:v>12.58</c:v>
                </c:pt>
                <c:pt idx="44">
                  <c:v>12.57</c:v>
                </c:pt>
                <c:pt idx="45">
                  <c:v>12.56</c:v>
                </c:pt>
                <c:pt idx="46">
                  <c:v>12.55</c:v>
                </c:pt>
                <c:pt idx="47">
                  <c:v>12.54</c:v>
                </c:pt>
                <c:pt idx="48">
                  <c:v>12.53</c:v>
                </c:pt>
                <c:pt idx="49">
                  <c:v>12.52</c:v>
                </c:pt>
                <c:pt idx="50">
                  <c:v>12.51</c:v>
                </c:pt>
                <c:pt idx="51">
                  <c:v>12.5</c:v>
                </c:pt>
                <c:pt idx="52">
                  <c:v>12.49</c:v>
                </c:pt>
                <c:pt idx="53">
                  <c:v>12.48</c:v>
                </c:pt>
                <c:pt idx="54">
                  <c:v>12.47</c:v>
                </c:pt>
                <c:pt idx="55">
                  <c:v>12.46</c:v>
                </c:pt>
                <c:pt idx="56">
                  <c:v>12.45</c:v>
                </c:pt>
                <c:pt idx="57">
                  <c:v>12.44</c:v>
                </c:pt>
                <c:pt idx="58">
                  <c:v>12.43</c:v>
                </c:pt>
                <c:pt idx="59">
                  <c:v>12.42</c:v>
                </c:pt>
                <c:pt idx="60">
                  <c:v>12.41</c:v>
                </c:pt>
                <c:pt idx="61">
                  <c:v>12.4</c:v>
                </c:pt>
                <c:pt idx="62">
                  <c:v>12.39</c:v>
                </c:pt>
                <c:pt idx="63">
                  <c:v>12.38</c:v>
                </c:pt>
                <c:pt idx="64">
                  <c:v>12.37</c:v>
                </c:pt>
                <c:pt idx="65">
                  <c:v>12.36</c:v>
                </c:pt>
                <c:pt idx="66">
                  <c:v>12.35</c:v>
                </c:pt>
                <c:pt idx="67">
                  <c:v>12.34</c:v>
                </c:pt>
                <c:pt idx="68">
                  <c:v>12.33</c:v>
                </c:pt>
                <c:pt idx="69">
                  <c:v>12.32</c:v>
                </c:pt>
                <c:pt idx="70">
                  <c:v>12.31</c:v>
                </c:pt>
                <c:pt idx="71">
                  <c:v>12.3</c:v>
                </c:pt>
                <c:pt idx="72">
                  <c:v>12.29</c:v>
                </c:pt>
                <c:pt idx="73">
                  <c:v>12.28</c:v>
                </c:pt>
                <c:pt idx="74">
                  <c:v>12.27</c:v>
                </c:pt>
                <c:pt idx="75">
                  <c:v>12.26</c:v>
                </c:pt>
                <c:pt idx="76">
                  <c:v>12.25</c:v>
                </c:pt>
                <c:pt idx="77">
                  <c:v>12.24</c:v>
                </c:pt>
                <c:pt idx="78">
                  <c:v>12.23</c:v>
                </c:pt>
                <c:pt idx="79">
                  <c:v>12.22</c:v>
                </c:pt>
                <c:pt idx="80">
                  <c:v>12.21</c:v>
                </c:pt>
                <c:pt idx="81">
                  <c:v>12.2</c:v>
                </c:pt>
                <c:pt idx="82">
                  <c:v>12.19</c:v>
                </c:pt>
                <c:pt idx="83">
                  <c:v>12.18</c:v>
                </c:pt>
                <c:pt idx="84">
                  <c:v>12.17</c:v>
                </c:pt>
                <c:pt idx="85">
                  <c:v>12.16</c:v>
                </c:pt>
                <c:pt idx="86">
                  <c:v>12.15</c:v>
                </c:pt>
                <c:pt idx="87">
                  <c:v>12.14</c:v>
                </c:pt>
                <c:pt idx="88">
                  <c:v>12.13</c:v>
                </c:pt>
                <c:pt idx="89">
                  <c:v>12.12</c:v>
                </c:pt>
                <c:pt idx="90">
                  <c:v>12.11</c:v>
                </c:pt>
                <c:pt idx="91">
                  <c:v>12.1</c:v>
                </c:pt>
                <c:pt idx="92">
                  <c:v>12.09</c:v>
                </c:pt>
                <c:pt idx="93">
                  <c:v>12.08</c:v>
                </c:pt>
                <c:pt idx="94">
                  <c:v>12.07</c:v>
                </c:pt>
                <c:pt idx="95">
                  <c:v>12.06</c:v>
                </c:pt>
                <c:pt idx="96">
                  <c:v>12.05</c:v>
                </c:pt>
                <c:pt idx="97">
                  <c:v>12.04</c:v>
                </c:pt>
                <c:pt idx="98">
                  <c:v>12.03</c:v>
                </c:pt>
                <c:pt idx="99">
                  <c:v>12.02</c:v>
                </c:pt>
                <c:pt idx="100">
                  <c:v>12.01</c:v>
                </c:pt>
              </c:numCache>
            </c:numRef>
          </c:yVal>
        </c:ser>
        <c:ser>
          <c:idx val="1"/>
          <c:order val="1"/>
          <c:tx>
            <c:strRef>
              <c:f>'Sheet 1 - 12V 10Ah LFP Discharg'!$E$2</c:f>
              <c:strCache>
                <c:ptCount val="1"/>
                <c:pt idx="0">
                  <c:v>07-16-2026 (Ah)</c:v>
                </c:pt>
              </c:strCache>
            </c:strRef>
          </c:tx>
          <c:spPr>
            <a:ln w="38100" cap="flat">
              <a:solidFill>
                <a:schemeClr val="accent3"/>
              </a:solidFill>
              <a:prstDash val="solid"/>
              <a:miter lim="400000"/>
            </a:ln>
            <a:effectLst/>
          </c:spPr>
          <c:marker>
            <c:symbol val="none"/>
          </c:marker>
          <c:xVal>
            <c:numRef>
              <c:f>'Sheet 1 - 12V 10Ah LFP Discharg'!$E$3:$E$103</c:f>
              <c:numCache>
                <c:formatCode>General</c:formatCode>
                <c:ptCount val="101"/>
                <c:pt idx="0">
                  <c:v>7.3999999999999996E-2</c:v>
                </c:pt>
                <c:pt idx="1">
                  <c:v>0.84799999999999998</c:v>
                </c:pt>
                <c:pt idx="2">
                  <c:v>1.764</c:v>
                </c:pt>
                <c:pt idx="3">
                  <c:v>2.3780000000000001</c:v>
                </c:pt>
                <c:pt idx="4">
                  <c:v>2.7759999999999998</c:v>
                </c:pt>
                <c:pt idx="5">
                  <c:v>3.0670000000000002</c:v>
                </c:pt>
                <c:pt idx="6">
                  <c:v>3.29</c:v>
                </c:pt>
                <c:pt idx="7">
                  <c:v>3.4529999999999998</c:v>
                </c:pt>
                <c:pt idx="8">
                  <c:v>3.5720000000000001</c:v>
                </c:pt>
                <c:pt idx="9">
                  <c:v>3.718</c:v>
                </c:pt>
                <c:pt idx="10">
                  <c:v>3.7949999999999999</c:v>
                </c:pt>
                <c:pt idx="11">
                  <c:v>3.9409999999999998</c:v>
                </c:pt>
                <c:pt idx="12">
                  <c:v>4.0030000000000001</c:v>
                </c:pt>
                <c:pt idx="13">
                  <c:v>4.1340000000000003</c:v>
                </c:pt>
                <c:pt idx="14">
                  <c:v>4.2640000000000002</c:v>
                </c:pt>
                <c:pt idx="15">
                  <c:v>4.4669999999999996</c:v>
                </c:pt>
                <c:pt idx="16">
                  <c:v>4.782</c:v>
                </c:pt>
                <c:pt idx="17">
                  <c:v>5.085</c:v>
                </c:pt>
                <c:pt idx="18">
                  <c:v>5.5259999999999998</c:v>
                </c:pt>
                <c:pt idx="19">
                  <c:v>6.3179999999999996</c:v>
                </c:pt>
                <c:pt idx="20">
                  <c:v>6.9189999999999996</c:v>
                </c:pt>
                <c:pt idx="21">
                  <c:v>7.266</c:v>
                </c:pt>
                <c:pt idx="22">
                  <c:v>7.4740000000000002</c:v>
                </c:pt>
                <c:pt idx="23">
                  <c:v>7.742</c:v>
                </c:pt>
                <c:pt idx="24">
                  <c:v>7.923</c:v>
                </c:pt>
                <c:pt idx="25">
                  <c:v>8.0259999999999998</c:v>
                </c:pt>
                <c:pt idx="26">
                  <c:v>8.1560000000000006</c:v>
                </c:pt>
                <c:pt idx="27">
                  <c:v>8.2550000000000008</c:v>
                </c:pt>
                <c:pt idx="28">
                  <c:v>8.3439999999999994</c:v>
                </c:pt>
                <c:pt idx="29">
                  <c:v>8.452</c:v>
                </c:pt>
                <c:pt idx="30">
                  <c:v>8.5510000000000002</c:v>
                </c:pt>
                <c:pt idx="31">
                  <c:v>8.6419999999999995</c:v>
                </c:pt>
                <c:pt idx="32">
                  <c:v>8.718</c:v>
                </c:pt>
                <c:pt idx="33">
                  <c:v>8.8040000000000003</c:v>
                </c:pt>
                <c:pt idx="34">
                  <c:v>8.9280000000000008</c:v>
                </c:pt>
                <c:pt idx="35">
                  <c:v>8.984</c:v>
                </c:pt>
                <c:pt idx="36">
                  <c:v>9.1329999999999991</c:v>
                </c:pt>
                <c:pt idx="37">
                  <c:v>9.2330000000000005</c:v>
                </c:pt>
                <c:pt idx="38">
                  <c:v>9.3160000000000007</c:v>
                </c:pt>
                <c:pt idx="39">
                  <c:v>9.3870000000000005</c:v>
                </c:pt>
                <c:pt idx="40">
                  <c:v>9.44</c:v>
                </c:pt>
                <c:pt idx="41">
                  <c:v>9.5109999999999992</c:v>
                </c:pt>
                <c:pt idx="42">
                  <c:v>9.5820000000000007</c:v>
                </c:pt>
                <c:pt idx="43">
                  <c:v>9.6519999999999992</c:v>
                </c:pt>
                <c:pt idx="44">
                  <c:v>9.7200000000000006</c:v>
                </c:pt>
                <c:pt idx="45">
                  <c:v>9.7840000000000007</c:v>
                </c:pt>
                <c:pt idx="46">
                  <c:v>9.8230000000000004</c:v>
                </c:pt>
                <c:pt idx="47">
                  <c:v>9.8810000000000002</c:v>
                </c:pt>
                <c:pt idx="48">
                  <c:v>9.9649999999999999</c:v>
                </c:pt>
                <c:pt idx="49">
                  <c:v>10.01</c:v>
                </c:pt>
                <c:pt idx="50">
                  <c:v>10.039999999999999</c:v>
                </c:pt>
                <c:pt idx="51">
                  <c:v>10.08</c:v>
                </c:pt>
                <c:pt idx="52">
                  <c:v>10.16</c:v>
                </c:pt>
                <c:pt idx="53">
                  <c:v>10.19</c:v>
                </c:pt>
                <c:pt idx="54">
                  <c:v>10.220000000000001</c:v>
                </c:pt>
                <c:pt idx="55">
                  <c:v>10.29</c:v>
                </c:pt>
                <c:pt idx="56">
                  <c:v>10.34</c:v>
                </c:pt>
                <c:pt idx="57">
                  <c:v>10.48</c:v>
                </c:pt>
                <c:pt idx="58">
                  <c:v>10.64</c:v>
                </c:pt>
                <c:pt idx="59">
                  <c:v>10.72</c:v>
                </c:pt>
                <c:pt idx="60">
                  <c:v>10.8</c:v>
                </c:pt>
                <c:pt idx="61">
                  <c:v>10.88</c:v>
                </c:pt>
                <c:pt idx="62">
                  <c:v>10.93</c:v>
                </c:pt>
                <c:pt idx="63">
                  <c:v>10.97</c:v>
                </c:pt>
                <c:pt idx="64">
                  <c:v>10.99</c:v>
                </c:pt>
                <c:pt idx="65">
                  <c:v>11.03</c:v>
                </c:pt>
                <c:pt idx="66">
                  <c:v>11.05</c:v>
                </c:pt>
                <c:pt idx="67">
                  <c:v>11.07</c:v>
                </c:pt>
                <c:pt idx="68">
                  <c:v>11.09</c:v>
                </c:pt>
                <c:pt idx="69">
                  <c:v>11.1</c:v>
                </c:pt>
                <c:pt idx="70">
                  <c:v>11.12</c:v>
                </c:pt>
                <c:pt idx="71">
                  <c:v>11.13</c:v>
                </c:pt>
                <c:pt idx="72">
                  <c:v>11.14</c:v>
                </c:pt>
                <c:pt idx="73">
                  <c:v>11.15</c:v>
                </c:pt>
                <c:pt idx="74">
                  <c:v>11.17</c:v>
                </c:pt>
                <c:pt idx="75">
                  <c:v>11.17</c:v>
                </c:pt>
                <c:pt idx="76">
                  <c:v>11.19</c:v>
                </c:pt>
                <c:pt idx="77">
                  <c:v>11.19</c:v>
                </c:pt>
                <c:pt idx="78">
                  <c:v>11.21</c:v>
                </c:pt>
                <c:pt idx="79">
                  <c:v>11.22</c:v>
                </c:pt>
                <c:pt idx="80">
                  <c:v>11.22</c:v>
                </c:pt>
                <c:pt idx="81">
                  <c:v>11.23</c:v>
                </c:pt>
                <c:pt idx="82">
                  <c:v>11.24</c:v>
                </c:pt>
                <c:pt idx="83">
                  <c:v>11.25</c:v>
                </c:pt>
                <c:pt idx="84">
                  <c:v>11.26</c:v>
                </c:pt>
                <c:pt idx="85">
                  <c:v>11.26</c:v>
                </c:pt>
                <c:pt idx="86">
                  <c:v>11.27</c:v>
                </c:pt>
                <c:pt idx="87">
                  <c:v>11.28</c:v>
                </c:pt>
                <c:pt idx="88">
                  <c:v>11.28</c:v>
                </c:pt>
                <c:pt idx="89">
                  <c:v>11.29</c:v>
                </c:pt>
                <c:pt idx="90">
                  <c:v>11.3</c:v>
                </c:pt>
                <c:pt idx="91">
                  <c:v>11.31</c:v>
                </c:pt>
                <c:pt idx="92">
                  <c:v>11.32</c:v>
                </c:pt>
                <c:pt idx="93">
                  <c:v>11.32</c:v>
                </c:pt>
                <c:pt idx="94">
                  <c:v>11.32</c:v>
                </c:pt>
              </c:numCache>
            </c:numRef>
          </c:xVal>
          <c:yVal>
            <c:numRef>
              <c:f>'Sheet 1 - 12V 10Ah LFP Discharg'!$F$3:$F$103</c:f>
              <c:numCache>
                <c:formatCode>General</c:formatCode>
                <c:ptCount val="101"/>
                <c:pt idx="0">
                  <c:v>12.94</c:v>
                </c:pt>
                <c:pt idx="1">
                  <c:v>12.93</c:v>
                </c:pt>
                <c:pt idx="2">
                  <c:v>12.92</c:v>
                </c:pt>
                <c:pt idx="3">
                  <c:v>12.91</c:v>
                </c:pt>
                <c:pt idx="4">
                  <c:v>12.9</c:v>
                </c:pt>
                <c:pt idx="5">
                  <c:v>12.89</c:v>
                </c:pt>
                <c:pt idx="6">
                  <c:v>12.88</c:v>
                </c:pt>
                <c:pt idx="7">
                  <c:v>12.87</c:v>
                </c:pt>
                <c:pt idx="8">
                  <c:v>12.86</c:v>
                </c:pt>
                <c:pt idx="9">
                  <c:v>12.85</c:v>
                </c:pt>
                <c:pt idx="10">
                  <c:v>12.84</c:v>
                </c:pt>
                <c:pt idx="11">
                  <c:v>12.83</c:v>
                </c:pt>
                <c:pt idx="12">
                  <c:v>12.82</c:v>
                </c:pt>
                <c:pt idx="13">
                  <c:v>12.81</c:v>
                </c:pt>
                <c:pt idx="14">
                  <c:v>12.8</c:v>
                </c:pt>
                <c:pt idx="15">
                  <c:v>12.79</c:v>
                </c:pt>
                <c:pt idx="16">
                  <c:v>12.78</c:v>
                </c:pt>
                <c:pt idx="17">
                  <c:v>12.77</c:v>
                </c:pt>
                <c:pt idx="18">
                  <c:v>12.76</c:v>
                </c:pt>
                <c:pt idx="19">
                  <c:v>12.75</c:v>
                </c:pt>
                <c:pt idx="20">
                  <c:v>12.74</c:v>
                </c:pt>
                <c:pt idx="21">
                  <c:v>12.73</c:v>
                </c:pt>
                <c:pt idx="22">
                  <c:v>12.72</c:v>
                </c:pt>
                <c:pt idx="23">
                  <c:v>12.71</c:v>
                </c:pt>
                <c:pt idx="24">
                  <c:v>12.7</c:v>
                </c:pt>
                <c:pt idx="25">
                  <c:v>12.69</c:v>
                </c:pt>
                <c:pt idx="26">
                  <c:v>12.68</c:v>
                </c:pt>
                <c:pt idx="27">
                  <c:v>12.67</c:v>
                </c:pt>
                <c:pt idx="28">
                  <c:v>12.66</c:v>
                </c:pt>
                <c:pt idx="29">
                  <c:v>12.65</c:v>
                </c:pt>
                <c:pt idx="30">
                  <c:v>12.64</c:v>
                </c:pt>
                <c:pt idx="31">
                  <c:v>12.63</c:v>
                </c:pt>
                <c:pt idx="32">
                  <c:v>12.62</c:v>
                </c:pt>
                <c:pt idx="33">
                  <c:v>12.61</c:v>
                </c:pt>
                <c:pt idx="34">
                  <c:v>12.6</c:v>
                </c:pt>
                <c:pt idx="35">
                  <c:v>12.59</c:v>
                </c:pt>
                <c:pt idx="36">
                  <c:v>12.58</c:v>
                </c:pt>
                <c:pt idx="37">
                  <c:v>12.57</c:v>
                </c:pt>
                <c:pt idx="38">
                  <c:v>12.56</c:v>
                </c:pt>
                <c:pt idx="39">
                  <c:v>12.55</c:v>
                </c:pt>
                <c:pt idx="40">
                  <c:v>12.54</c:v>
                </c:pt>
                <c:pt idx="41">
                  <c:v>12.53</c:v>
                </c:pt>
                <c:pt idx="42">
                  <c:v>12.52</c:v>
                </c:pt>
                <c:pt idx="43">
                  <c:v>12.51</c:v>
                </c:pt>
                <c:pt idx="44">
                  <c:v>12.5</c:v>
                </c:pt>
                <c:pt idx="45">
                  <c:v>12.49</c:v>
                </c:pt>
                <c:pt idx="46">
                  <c:v>12.48</c:v>
                </c:pt>
                <c:pt idx="47">
                  <c:v>12.47</c:v>
                </c:pt>
                <c:pt idx="48">
                  <c:v>12.46</c:v>
                </c:pt>
                <c:pt idx="49">
                  <c:v>12.45</c:v>
                </c:pt>
                <c:pt idx="50">
                  <c:v>12.44</c:v>
                </c:pt>
                <c:pt idx="51">
                  <c:v>12.43</c:v>
                </c:pt>
                <c:pt idx="52">
                  <c:v>12.42</c:v>
                </c:pt>
                <c:pt idx="53">
                  <c:v>12.41</c:v>
                </c:pt>
                <c:pt idx="54">
                  <c:v>12.4</c:v>
                </c:pt>
                <c:pt idx="55">
                  <c:v>12.39</c:v>
                </c:pt>
                <c:pt idx="56">
                  <c:v>12.38</c:v>
                </c:pt>
                <c:pt idx="57">
                  <c:v>12.37</c:v>
                </c:pt>
                <c:pt idx="58">
                  <c:v>12.36</c:v>
                </c:pt>
                <c:pt idx="59">
                  <c:v>12.35</c:v>
                </c:pt>
                <c:pt idx="60">
                  <c:v>12.34</c:v>
                </c:pt>
                <c:pt idx="61">
                  <c:v>12.33</c:v>
                </c:pt>
                <c:pt idx="62">
                  <c:v>12.32</c:v>
                </c:pt>
                <c:pt idx="63">
                  <c:v>12.31</c:v>
                </c:pt>
                <c:pt idx="64">
                  <c:v>12.3</c:v>
                </c:pt>
                <c:pt idx="65">
                  <c:v>12.29</c:v>
                </c:pt>
                <c:pt idx="66">
                  <c:v>12.28</c:v>
                </c:pt>
                <c:pt idx="67">
                  <c:v>12.27</c:v>
                </c:pt>
                <c:pt idx="68">
                  <c:v>12.26</c:v>
                </c:pt>
                <c:pt idx="69">
                  <c:v>12.25</c:v>
                </c:pt>
                <c:pt idx="70">
                  <c:v>12.24</c:v>
                </c:pt>
                <c:pt idx="71">
                  <c:v>12.23</c:v>
                </c:pt>
                <c:pt idx="72">
                  <c:v>12.22</c:v>
                </c:pt>
                <c:pt idx="73">
                  <c:v>12.21</c:v>
                </c:pt>
                <c:pt idx="74">
                  <c:v>12.2</c:v>
                </c:pt>
                <c:pt idx="75">
                  <c:v>12.19</c:v>
                </c:pt>
                <c:pt idx="76">
                  <c:v>12.18</c:v>
                </c:pt>
                <c:pt idx="77">
                  <c:v>12.17</c:v>
                </c:pt>
                <c:pt idx="78">
                  <c:v>12.16</c:v>
                </c:pt>
                <c:pt idx="79">
                  <c:v>12.15</c:v>
                </c:pt>
                <c:pt idx="80">
                  <c:v>12.14</c:v>
                </c:pt>
                <c:pt idx="81">
                  <c:v>12.13</c:v>
                </c:pt>
                <c:pt idx="82">
                  <c:v>12.12</c:v>
                </c:pt>
                <c:pt idx="83">
                  <c:v>12.11</c:v>
                </c:pt>
                <c:pt idx="84">
                  <c:v>12.1</c:v>
                </c:pt>
                <c:pt idx="85">
                  <c:v>12.09</c:v>
                </c:pt>
                <c:pt idx="86">
                  <c:v>12.08</c:v>
                </c:pt>
                <c:pt idx="87">
                  <c:v>12.07</c:v>
                </c:pt>
                <c:pt idx="88">
                  <c:v>12.06</c:v>
                </c:pt>
                <c:pt idx="89">
                  <c:v>12.05</c:v>
                </c:pt>
                <c:pt idx="90">
                  <c:v>12.04</c:v>
                </c:pt>
                <c:pt idx="91">
                  <c:v>12.03</c:v>
                </c:pt>
                <c:pt idx="92">
                  <c:v>12.02</c:v>
                </c:pt>
                <c:pt idx="93">
                  <c:v>12.01</c:v>
                </c:pt>
                <c:pt idx="94">
                  <c:v>12</c:v>
                </c:pt>
              </c:numCache>
            </c:numRef>
          </c:yVal>
        </c:ser>
        <c:axId val="169767296"/>
        <c:axId val="169770368"/>
      </c:scatterChart>
      <c:valAx>
        <c:axId val="169767296"/>
        <c:scaling>
          <c:orientation val="minMax"/>
        </c:scaling>
        <c:axPos val="b"/>
        <c:numFmt formatCode="General" sourceLinked="1"/>
        <c:majorTickMark val="none"/>
        <c:tickLblPos val="nextTo"/>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169770368"/>
        <c:crosses val="autoZero"/>
        <c:crossBetween val="between"/>
        <c:majorUnit val="1"/>
        <c:minorUnit val="0.5"/>
      </c:valAx>
      <c:valAx>
        <c:axId val="169770368"/>
        <c:scaling>
          <c:orientation val="minMax"/>
          <c:max val="13"/>
          <c:min val="12"/>
        </c:scaling>
        <c:axPos val="l"/>
        <c:majorGridlines>
          <c:spPr>
            <a:ln w="6350" cap="flat">
              <a:solidFill>
                <a:srgbClr val="B8B8B8"/>
              </a:solidFill>
              <a:prstDash val="solid"/>
              <a:miter lim="400000"/>
            </a:ln>
          </c:spPr>
        </c:majorGridlines>
        <c:numFmt formatCode="General" sourceLinked="1"/>
        <c:maj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169767296"/>
        <c:crosses val="autoZero"/>
        <c:crossBetween val="between"/>
        <c:majorUnit val="0.25"/>
        <c:minorUnit val="0.125"/>
      </c:valAx>
      <c:spPr>
        <a:noFill/>
        <a:ln w="12700" cap="flat">
          <a:noFill/>
          <a:miter lim="400000"/>
        </a:ln>
        <a:effectLst/>
      </c:spPr>
    </c:plotArea>
    <c:legend>
      <c:legendPos val="t"/>
      <c:layout>
        <c:manualLayout>
          <c:xMode val="edge"/>
          <c:yMode val="edge"/>
          <c:x val="7.5607700000000014E-2"/>
          <c:y val="0"/>
          <c:w val="0.88914199999999999"/>
          <c:h val="6.4066700000000226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chart>
  <c:spPr>
    <a:noFill/>
    <a:ln>
      <a:noFill/>
    </a:ln>
    <a:effectLst/>
  </c:spPr>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9.1001100000000015E-2"/>
          <c:y val="0.12368000000000012"/>
          <c:w val="0.89403199999999949"/>
          <c:h val="0.8103369999999982"/>
        </c:manualLayout>
      </c:layout>
      <c:scatterChart>
        <c:scatterStyle val="lineMarker"/>
        <c:ser>
          <c:idx val="0"/>
          <c:order val="0"/>
          <c:tx>
            <c:strRef>
              <c:f>'Sheet 1 - 12V 10Ah LFP Discharg'!$C$2</c:f>
              <c:strCache>
                <c:ptCount val="1"/>
                <c:pt idx="0">
                  <c:v>07-14-2026 (Ah)</c:v>
                </c:pt>
              </c:strCache>
            </c:strRef>
          </c:tx>
          <c:spPr>
            <a:ln w="38100" cap="flat">
              <a:solidFill>
                <a:schemeClr val="accent1"/>
              </a:solidFill>
              <a:prstDash val="solid"/>
              <a:miter lim="400000"/>
            </a:ln>
            <a:effectLst/>
          </c:spPr>
          <c:marker>
            <c:symbol val="none"/>
          </c:marker>
          <c:xVal>
            <c:numRef>
              <c:f>'Sheet 1 - 12V 10Ah LFP Discharg'!$C$3:$C$103</c:f>
              <c:numCache>
                <c:formatCode>General</c:formatCode>
                <c:ptCount val="101"/>
                <c:pt idx="0">
                  <c:v>2E-3</c:v>
                </c:pt>
                <c:pt idx="1">
                  <c:v>3.0000000000000001E-3</c:v>
                </c:pt>
                <c:pt idx="2">
                  <c:v>5.0000000000000001E-3</c:v>
                </c:pt>
                <c:pt idx="3">
                  <c:v>8.0000000000000002E-3</c:v>
                </c:pt>
                <c:pt idx="4">
                  <c:v>1.0999999999999999E-2</c:v>
                </c:pt>
                <c:pt idx="5">
                  <c:v>1.7000000000000001E-2</c:v>
                </c:pt>
                <c:pt idx="6">
                  <c:v>2.1000000000000001E-2</c:v>
                </c:pt>
                <c:pt idx="7">
                  <c:v>2.9000000000000001E-2</c:v>
                </c:pt>
                <c:pt idx="8">
                  <c:v>5.2999999999999999E-2</c:v>
                </c:pt>
                <c:pt idx="9">
                  <c:v>0.38400000000000001</c:v>
                </c:pt>
                <c:pt idx="10">
                  <c:v>0.48399999999999999</c:v>
                </c:pt>
                <c:pt idx="11">
                  <c:v>0.53700000000000003</c:v>
                </c:pt>
                <c:pt idx="12">
                  <c:v>0.59399999999999997</c:v>
                </c:pt>
                <c:pt idx="13">
                  <c:v>0.63300000000000001</c:v>
                </c:pt>
                <c:pt idx="14">
                  <c:v>0.69199999999999995</c:v>
                </c:pt>
                <c:pt idx="15">
                  <c:v>0.72399999999999998</c:v>
                </c:pt>
                <c:pt idx="16">
                  <c:v>0.76300000000000001</c:v>
                </c:pt>
                <c:pt idx="17">
                  <c:v>0.79400000000000004</c:v>
                </c:pt>
                <c:pt idx="18">
                  <c:v>0.84699999999999998</c:v>
                </c:pt>
                <c:pt idx="19">
                  <c:v>0.91400000000000003</c:v>
                </c:pt>
                <c:pt idx="20">
                  <c:v>0.998</c:v>
                </c:pt>
                <c:pt idx="21">
                  <c:v>1.2170000000000001</c:v>
                </c:pt>
                <c:pt idx="22">
                  <c:v>1.359</c:v>
                </c:pt>
                <c:pt idx="23">
                  <c:v>1.7769999999999999</c:v>
                </c:pt>
                <c:pt idx="24">
                  <c:v>2.66</c:v>
                </c:pt>
                <c:pt idx="25">
                  <c:v>3.4510000000000001</c:v>
                </c:pt>
                <c:pt idx="26">
                  <c:v>3.8220000000000001</c:v>
                </c:pt>
                <c:pt idx="27">
                  <c:v>4.1619999999999999</c:v>
                </c:pt>
                <c:pt idx="28">
                  <c:v>4.3280000000000003</c:v>
                </c:pt>
                <c:pt idx="29">
                  <c:v>4.5149999999999997</c:v>
                </c:pt>
                <c:pt idx="30">
                  <c:v>4.6269999999999998</c:v>
                </c:pt>
                <c:pt idx="31">
                  <c:v>4.7249999999999996</c:v>
                </c:pt>
                <c:pt idx="32">
                  <c:v>4.8040000000000003</c:v>
                </c:pt>
                <c:pt idx="33">
                  <c:v>4.9139999999999997</c:v>
                </c:pt>
                <c:pt idx="34">
                  <c:v>5.0069999999999997</c:v>
                </c:pt>
                <c:pt idx="35">
                  <c:v>5.1390000000000002</c:v>
                </c:pt>
                <c:pt idx="36">
                  <c:v>5.21</c:v>
                </c:pt>
                <c:pt idx="37">
                  <c:v>5.28</c:v>
                </c:pt>
                <c:pt idx="38">
                  <c:v>5.3849999999999998</c:v>
                </c:pt>
                <c:pt idx="39">
                  <c:v>5.4669999999999996</c:v>
                </c:pt>
                <c:pt idx="40">
                  <c:v>5.593</c:v>
                </c:pt>
                <c:pt idx="41">
                  <c:v>5.718</c:v>
                </c:pt>
                <c:pt idx="42">
                  <c:v>5.7670000000000003</c:v>
                </c:pt>
                <c:pt idx="43">
                  <c:v>5.8689999999999998</c:v>
                </c:pt>
                <c:pt idx="44">
                  <c:v>5.9660000000000002</c:v>
                </c:pt>
                <c:pt idx="45">
                  <c:v>6.0460000000000003</c:v>
                </c:pt>
                <c:pt idx="46">
                  <c:v>6.1070000000000002</c:v>
                </c:pt>
                <c:pt idx="47">
                  <c:v>6.1710000000000003</c:v>
                </c:pt>
                <c:pt idx="48">
                  <c:v>6.2309999999999999</c:v>
                </c:pt>
                <c:pt idx="49">
                  <c:v>6.2919999999999998</c:v>
                </c:pt>
                <c:pt idx="50">
                  <c:v>6.343</c:v>
                </c:pt>
                <c:pt idx="51">
                  <c:v>6.4020000000000001</c:v>
                </c:pt>
                <c:pt idx="52">
                  <c:v>6.46</c:v>
                </c:pt>
                <c:pt idx="53">
                  <c:v>6.5449999999999999</c:v>
                </c:pt>
                <c:pt idx="54">
                  <c:v>6.6150000000000002</c:v>
                </c:pt>
                <c:pt idx="55">
                  <c:v>6.6680000000000001</c:v>
                </c:pt>
                <c:pt idx="56">
                  <c:v>6.7</c:v>
                </c:pt>
                <c:pt idx="57">
                  <c:v>6.7569999999999997</c:v>
                </c:pt>
                <c:pt idx="58">
                  <c:v>6.798</c:v>
                </c:pt>
                <c:pt idx="59">
                  <c:v>6.8369999999999997</c:v>
                </c:pt>
                <c:pt idx="60">
                  <c:v>6.8789999999999996</c:v>
                </c:pt>
                <c:pt idx="61">
                  <c:v>6.9169999999999998</c:v>
                </c:pt>
                <c:pt idx="62">
                  <c:v>6.984</c:v>
                </c:pt>
                <c:pt idx="63">
                  <c:v>7.09</c:v>
                </c:pt>
                <c:pt idx="64">
                  <c:v>7.2569999999999997</c:v>
                </c:pt>
                <c:pt idx="65">
                  <c:v>7.3559999999999999</c:v>
                </c:pt>
                <c:pt idx="66">
                  <c:v>7.4130000000000003</c:v>
                </c:pt>
                <c:pt idx="67">
                  <c:v>7.5110000000000001</c:v>
                </c:pt>
                <c:pt idx="68">
                  <c:v>7.56</c:v>
                </c:pt>
                <c:pt idx="69">
                  <c:v>7.5940000000000003</c:v>
                </c:pt>
                <c:pt idx="70">
                  <c:v>7.633</c:v>
                </c:pt>
                <c:pt idx="71">
                  <c:v>7.6580000000000004</c:v>
                </c:pt>
                <c:pt idx="72">
                  <c:v>7.6849999999999996</c:v>
                </c:pt>
                <c:pt idx="73">
                  <c:v>7.7110000000000003</c:v>
                </c:pt>
                <c:pt idx="74">
                  <c:v>7.73</c:v>
                </c:pt>
                <c:pt idx="75">
                  <c:v>7.7469999999999999</c:v>
                </c:pt>
                <c:pt idx="76">
                  <c:v>7.7569999999999997</c:v>
                </c:pt>
                <c:pt idx="77">
                  <c:v>7.7679999999999998</c:v>
                </c:pt>
                <c:pt idx="78">
                  <c:v>7.78</c:v>
                </c:pt>
                <c:pt idx="79">
                  <c:v>7.7939999999999996</c:v>
                </c:pt>
                <c:pt idx="80">
                  <c:v>7.8010000000000002</c:v>
                </c:pt>
                <c:pt idx="81">
                  <c:v>7.8120000000000003</c:v>
                </c:pt>
                <c:pt idx="82">
                  <c:v>7.8209999999999997</c:v>
                </c:pt>
                <c:pt idx="83">
                  <c:v>7.8330000000000002</c:v>
                </c:pt>
                <c:pt idx="84">
                  <c:v>7.8369999999999997</c:v>
                </c:pt>
                <c:pt idx="85">
                  <c:v>7.8490000000000002</c:v>
                </c:pt>
                <c:pt idx="86">
                  <c:v>7.8579999999999997</c:v>
                </c:pt>
                <c:pt idx="87">
                  <c:v>7.867</c:v>
                </c:pt>
                <c:pt idx="88">
                  <c:v>7.8769999999999998</c:v>
                </c:pt>
                <c:pt idx="89">
                  <c:v>7.8849999999999998</c:v>
                </c:pt>
                <c:pt idx="90">
                  <c:v>7.891</c:v>
                </c:pt>
                <c:pt idx="91">
                  <c:v>7.899</c:v>
                </c:pt>
                <c:pt idx="92">
                  <c:v>7.9039999999999999</c:v>
                </c:pt>
                <c:pt idx="93">
                  <c:v>7.9139999999999997</c:v>
                </c:pt>
                <c:pt idx="94">
                  <c:v>7.9210000000000003</c:v>
                </c:pt>
                <c:pt idx="95">
                  <c:v>7.9290000000000003</c:v>
                </c:pt>
                <c:pt idx="96">
                  <c:v>7.9359999999999999</c:v>
                </c:pt>
                <c:pt idx="97">
                  <c:v>7.9459999999999997</c:v>
                </c:pt>
                <c:pt idx="98">
                  <c:v>7.9530000000000003</c:v>
                </c:pt>
                <c:pt idx="99">
                  <c:v>7.9610000000000003</c:v>
                </c:pt>
                <c:pt idx="100">
                  <c:v>7.9690000000000003</c:v>
                </c:pt>
              </c:numCache>
            </c:numRef>
          </c:xVal>
          <c:yVal>
            <c:numRef>
              <c:f>'Sheet 1 - 12V 10Ah LFP Discharg'!$D$3:$D$103</c:f>
              <c:numCache>
                <c:formatCode>General</c:formatCode>
                <c:ptCount val="101"/>
                <c:pt idx="0">
                  <c:v>13.01</c:v>
                </c:pt>
                <c:pt idx="1">
                  <c:v>13</c:v>
                </c:pt>
                <c:pt idx="2">
                  <c:v>12.99</c:v>
                </c:pt>
                <c:pt idx="3">
                  <c:v>12.98</c:v>
                </c:pt>
                <c:pt idx="4">
                  <c:v>12.97</c:v>
                </c:pt>
                <c:pt idx="5">
                  <c:v>12.96</c:v>
                </c:pt>
                <c:pt idx="6">
                  <c:v>12.95</c:v>
                </c:pt>
                <c:pt idx="7">
                  <c:v>12.94</c:v>
                </c:pt>
                <c:pt idx="8">
                  <c:v>12.93</c:v>
                </c:pt>
                <c:pt idx="9">
                  <c:v>12.92</c:v>
                </c:pt>
                <c:pt idx="10">
                  <c:v>12.91</c:v>
                </c:pt>
                <c:pt idx="11">
                  <c:v>12.9</c:v>
                </c:pt>
                <c:pt idx="12">
                  <c:v>12.89</c:v>
                </c:pt>
                <c:pt idx="13">
                  <c:v>12.88</c:v>
                </c:pt>
                <c:pt idx="14">
                  <c:v>12.87</c:v>
                </c:pt>
                <c:pt idx="15">
                  <c:v>12.86</c:v>
                </c:pt>
                <c:pt idx="16">
                  <c:v>12.85</c:v>
                </c:pt>
                <c:pt idx="17">
                  <c:v>12.84</c:v>
                </c:pt>
                <c:pt idx="18">
                  <c:v>12.83</c:v>
                </c:pt>
                <c:pt idx="19">
                  <c:v>12.82</c:v>
                </c:pt>
                <c:pt idx="20">
                  <c:v>12.81</c:v>
                </c:pt>
                <c:pt idx="21">
                  <c:v>12.8</c:v>
                </c:pt>
                <c:pt idx="22">
                  <c:v>12.79</c:v>
                </c:pt>
                <c:pt idx="23">
                  <c:v>12.78</c:v>
                </c:pt>
                <c:pt idx="24">
                  <c:v>12.77</c:v>
                </c:pt>
                <c:pt idx="25">
                  <c:v>12.76</c:v>
                </c:pt>
                <c:pt idx="26">
                  <c:v>12.75</c:v>
                </c:pt>
                <c:pt idx="27">
                  <c:v>12.74</c:v>
                </c:pt>
                <c:pt idx="28">
                  <c:v>12.73</c:v>
                </c:pt>
                <c:pt idx="29">
                  <c:v>12.72</c:v>
                </c:pt>
                <c:pt idx="30">
                  <c:v>12.71</c:v>
                </c:pt>
                <c:pt idx="31">
                  <c:v>12.7</c:v>
                </c:pt>
                <c:pt idx="32">
                  <c:v>12.69</c:v>
                </c:pt>
                <c:pt idx="33">
                  <c:v>12.68</c:v>
                </c:pt>
                <c:pt idx="34">
                  <c:v>12.67</c:v>
                </c:pt>
                <c:pt idx="35">
                  <c:v>12.66</c:v>
                </c:pt>
                <c:pt idx="36">
                  <c:v>12.65</c:v>
                </c:pt>
                <c:pt idx="37">
                  <c:v>12.64</c:v>
                </c:pt>
                <c:pt idx="38">
                  <c:v>12.63</c:v>
                </c:pt>
                <c:pt idx="39">
                  <c:v>12.62</c:v>
                </c:pt>
                <c:pt idx="40">
                  <c:v>12.61</c:v>
                </c:pt>
                <c:pt idx="41">
                  <c:v>12.6</c:v>
                </c:pt>
                <c:pt idx="42">
                  <c:v>12.59</c:v>
                </c:pt>
                <c:pt idx="43">
                  <c:v>12.58</c:v>
                </c:pt>
                <c:pt idx="44">
                  <c:v>12.57</c:v>
                </c:pt>
                <c:pt idx="45">
                  <c:v>12.56</c:v>
                </c:pt>
                <c:pt idx="46">
                  <c:v>12.55</c:v>
                </c:pt>
                <c:pt idx="47">
                  <c:v>12.54</c:v>
                </c:pt>
                <c:pt idx="48">
                  <c:v>12.53</c:v>
                </c:pt>
                <c:pt idx="49">
                  <c:v>12.52</c:v>
                </c:pt>
                <c:pt idx="50">
                  <c:v>12.51</c:v>
                </c:pt>
                <c:pt idx="51">
                  <c:v>12.5</c:v>
                </c:pt>
                <c:pt idx="52">
                  <c:v>12.49</c:v>
                </c:pt>
                <c:pt idx="53">
                  <c:v>12.48</c:v>
                </c:pt>
                <c:pt idx="54">
                  <c:v>12.47</c:v>
                </c:pt>
                <c:pt idx="55">
                  <c:v>12.46</c:v>
                </c:pt>
                <c:pt idx="56">
                  <c:v>12.45</c:v>
                </c:pt>
                <c:pt idx="57">
                  <c:v>12.44</c:v>
                </c:pt>
                <c:pt idx="58">
                  <c:v>12.43</c:v>
                </c:pt>
                <c:pt idx="59">
                  <c:v>12.42</c:v>
                </c:pt>
                <c:pt idx="60">
                  <c:v>12.41</c:v>
                </c:pt>
                <c:pt idx="61">
                  <c:v>12.4</c:v>
                </c:pt>
                <c:pt idx="62">
                  <c:v>12.39</c:v>
                </c:pt>
                <c:pt idx="63">
                  <c:v>12.38</c:v>
                </c:pt>
                <c:pt idx="64">
                  <c:v>12.37</c:v>
                </c:pt>
                <c:pt idx="65">
                  <c:v>12.36</c:v>
                </c:pt>
                <c:pt idx="66">
                  <c:v>12.35</c:v>
                </c:pt>
                <c:pt idx="67">
                  <c:v>12.34</c:v>
                </c:pt>
                <c:pt idx="68">
                  <c:v>12.33</c:v>
                </c:pt>
                <c:pt idx="69">
                  <c:v>12.32</c:v>
                </c:pt>
                <c:pt idx="70">
                  <c:v>12.31</c:v>
                </c:pt>
                <c:pt idx="71">
                  <c:v>12.3</c:v>
                </c:pt>
                <c:pt idx="72">
                  <c:v>12.29</c:v>
                </c:pt>
                <c:pt idx="73">
                  <c:v>12.28</c:v>
                </c:pt>
                <c:pt idx="74">
                  <c:v>12.27</c:v>
                </c:pt>
                <c:pt idx="75">
                  <c:v>12.26</c:v>
                </c:pt>
                <c:pt idx="76">
                  <c:v>12.25</c:v>
                </c:pt>
                <c:pt idx="77">
                  <c:v>12.24</c:v>
                </c:pt>
                <c:pt idx="78">
                  <c:v>12.23</c:v>
                </c:pt>
                <c:pt idx="79">
                  <c:v>12.22</c:v>
                </c:pt>
                <c:pt idx="80">
                  <c:v>12.21</c:v>
                </c:pt>
                <c:pt idx="81">
                  <c:v>12.2</c:v>
                </c:pt>
                <c:pt idx="82">
                  <c:v>12.19</c:v>
                </c:pt>
                <c:pt idx="83">
                  <c:v>12.18</c:v>
                </c:pt>
                <c:pt idx="84">
                  <c:v>12.17</c:v>
                </c:pt>
                <c:pt idx="85">
                  <c:v>12.16</c:v>
                </c:pt>
                <c:pt idx="86">
                  <c:v>12.15</c:v>
                </c:pt>
                <c:pt idx="87">
                  <c:v>12.14</c:v>
                </c:pt>
                <c:pt idx="88">
                  <c:v>12.13</c:v>
                </c:pt>
                <c:pt idx="89">
                  <c:v>12.12</c:v>
                </c:pt>
                <c:pt idx="90">
                  <c:v>12.11</c:v>
                </c:pt>
                <c:pt idx="91">
                  <c:v>12.1</c:v>
                </c:pt>
                <c:pt idx="92">
                  <c:v>12.09</c:v>
                </c:pt>
                <c:pt idx="93">
                  <c:v>12.08</c:v>
                </c:pt>
                <c:pt idx="94">
                  <c:v>12.07</c:v>
                </c:pt>
                <c:pt idx="95">
                  <c:v>12.06</c:v>
                </c:pt>
                <c:pt idx="96">
                  <c:v>12.05</c:v>
                </c:pt>
                <c:pt idx="97">
                  <c:v>12.04</c:v>
                </c:pt>
                <c:pt idx="98">
                  <c:v>12.03</c:v>
                </c:pt>
                <c:pt idx="99">
                  <c:v>12.02</c:v>
                </c:pt>
                <c:pt idx="100">
                  <c:v>12.01</c:v>
                </c:pt>
              </c:numCache>
            </c:numRef>
          </c:yVal>
        </c:ser>
        <c:ser>
          <c:idx val="1"/>
          <c:order val="1"/>
          <c:tx>
            <c:strRef>
              <c:f>'Sheet 1 - 12V 10Ah LFP Discharg'!$E$2</c:f>
              <c:strCache>
                <c:ptCount val="1"/>
                <c:pt idx="0">
                  <c:v>07-16-2026 (Ah)</c:v>
                </c:pt>
              </c:strCache>
            </c:strRef>
          </c:tx>
          <c:spPr>
            <a:ln w="38100" cap="flat">
              <a:solidFill>
                <a:schemeClr val="accent3"/>
              </a:solidFill>
              <a:prstDash val="solid"/>
              <a:miter lim="400000"/>
            </a:ln>
            <a:effectLst/>
          </c:spPr>
          <c:marker>
            <c:symbol val="none"/>
          </c:marker>
          <c:xVal>
            <c:numRef>
              <c:f>'Sheet 1 - 12V 10Ah LFP Discharg'!$E$3:$E$103</c:f>
              <c:numCache>
                <c:formatCode>General</c:formatCode>
                <c:ptCount val="101"/>
                <c:pt idx="0">
                  <c:v>7.3999999999999996E-2</c:v>
                </c:pt>
                <c:pt idx="1">
                  <c:v>0.84799999999999998</c:v>
                </c:pt>
                <c:pt idx="2">
                  <c:v>1.764</c:v>
                </c:pt>
                <c:pt idx="3">
                  <c:v>2.3780000000000001</c:v>
                </c:pt>
                <c:pt idx="4">
                  <c:v>2.7759999999999998</c:v>
                </c:pt>
                <c:pt idx="5">
                  <c:v>3.0670000000000002</c:v>
                </c:pt>
                <c:pt idx="6">
                  <c:v>3.29</c:v>
                </c:pt>
                <c:pt idx="7">
                  <c:v>3.4529999999999998</c:v>
                </c:pt>
                <c:pt idx="8">
                  <c:v>3.5720000000000001</c:v>
                </c:pt>
                <c:pt idx="9">
                  <c:v>3.718</c:v>
                </c:pt>
                <c:pt idx="10">
                  <c:v>3.7949999999999999</c:v>
                </c:pt>
                <c:pt idx="11">
                  <c:v>3.9409999999999998</c:v>
                </c:pt>
                <c:pt idx="12">
                  <c:v>4.0030000000000001</c:v>
                </c:pt>
                <c:pt idx="13">
                  <c:v>4.1340000000000003</c:v>
                </c:pt>
                <c:pt idx="14">
                  <c:v>4.2640000000000002</c:v>
                </c:pt>
                <c:pt idx="15">
                  <c:v>4.4669999999999996</c:v>
                </c:pt>
                <c:pt idx="16">
                  <c:v>4.782</c:v>
                </c:pt>
                <c:pt idx="17">
                  <c:v>5.085</c:v>
                </c:pt>
                <c:pt idx="18">
                  <c:v>5.5259999999999998</c:v>
                </c:pt>
                <c:pt idx="19">
                  <c:v>6.3179999999999996</c:v>
                </c:pt>
                <c:pt idx="20">
                  <c:v>6.9189999999999996</c:v>
                </c:pt>
                <c:pt idx="21">
                  <c:v>7.266</c:v>
                </c:pt>
                <c:pt idx="22">
                  <c:v>7.4740000000000002</c:v>
                </c:pt>
                <c:pt idx="23">
                  <c:v>7.742</c:v>
                </c:pt>
                <c:pt idx="24">
                  <c:v>7.923</c:v>
                </c:pt>
                <c:pt idx="25">
                  <c:v>8.0259999999999998</c:v>
                </c:pt>
                <c:pt idx="26">
                  <c:v>8.1560000000000006</c:v>
                </c:pt>
                <c:pt idx="27">
                  <c:v>8.2550000000000008</c:v>
                </c:pt>
                <c:pt idx="28">
                  <c:v>8.3439999999999994</c:v>
                </c:pt>
                <c:pt idx="29">
                  <c:v>8.452</c:v>
                </c:pt>
                <c:pt idx="30">
                  <c:v>8.5510000000000002</c:v>
                </c:pt>
                <c:pt idx="31">
                  <c:v>8.6419999999999995</c:v>
                </c:pt>
                <c:pt idx="32">
                  <c:v>8.718</c:v>
                </c:pt>
                <c:pt idx="33">
                  <c:v>8.8040000000000003</c:v>
                </c:pt>
                <c:pt idx="34">
                  <c:v>8.9280000000000008</c:v>
                </c:pt>
                <c:pt idx="35">
                  <c:v>8.984</c:v>
                </c:pt>
                <c:pt idx="36">
                  <c:v>9.1329999999999991</c:v>
                </c:pt>
                <c:pt idx="37">
                  <c:v>9.2330000000000005</c:v>
                </c:pt>
                <c:pt idx="38">
                  <c:v>9.3160000000000007</c:v>
                </c:pt>
                <c:pt idx="39">
                  <c:v>9.3870000000000005</c:v>
                </c:pt>
                <c:pt idx="40">
                  <c:v>9.44</c:v>
                </c:pt>
                <c:pt idx="41">
                  <c:v>9.5109999999999992</c:v>
                </c:pt>
                <c:pt idx="42">
                  <c:v>9.5820000000000007</c:v>
                </c:pt>
                <c:pt idx="43">
                  <c:v>9.6519999999999992</c:v>
                </c:pt>
                <c:pt idx="44">
                  <c:v>9.7200000000000006</c:v>
                </c:pt>
                <c:pt idx="45">
                  <c:v>9.7840000000000007</c:v>
                </c:pt>
                <c:pt idx="46">
                  <c:v>9.8230000000000004</c:v>
                </c:pt>
                <c:pt idx="47">
                  <c:v>9.8810000000000002</c:v>
                </c:pt>
                <c:pt idx="48">
                  <c:v>9.9649999999999999</c:v>
                </c:pt>
                <c:pt idx="49">
                  <c:v>10.01</c:v>
                </c:pt>
                <c:pt idx="50">
                  <c:v>10.039999999999999</c:v>
                </c:pt>
                <c:pt idx="51">
                  <c:v>10.08</c:v>
                </c:pt>
                <c:pt idx="52">
                  <c:v>10.16</c:v>
                </c:pt>
                <c:pt idx="53">
                  <c:v>10.19</c:v>
                </c:pt>
                <c:pt idx="54">
                  <c:v>10.220000000000001</c:v>
                </c:pt>
                <c:pt idx="55">
                  <c:v>10.29</c:v>
                </c:pt>
                <c:pt idx="56">
                  <c:v>10.34</c:v>
                </c:pt>
                <c:pt idx="57">
                  <c:v>10.48</c:v>
                </c:pt>
                <c:pt idx="58">
                  <c:v>10.64</c:v>
                </c:pt>
                <c:pt idx="59">
                  <c:v>10.72</c:v>
                </c:pt>
                <c:pt idx="60">
                  <c:v>10.8</c:v>
                </c:pt>
                <c:pt idx="61">
                  <c:v>10.88</c:v>
                </c:pt>
                <c:pt idx="62">
                  <c:v>10.93</c:v>
                </c:pt>
                <c:pt idx="63">
                  <c:v>10.97</c:v>
                </c:pt>
                <c:pt idx="64">
                  <c:v>10.99</c:v>
                </c:pt>
                <c:pt idx="65">
                  <c:v>11.03</c:v>
                </c:pt>
                <c:pt idx="66">
                  <c:v>11.05</c:v>
                </c:pt>
                <c:pt idx="67">
                  <c:v>11.07</c:v>
                </c:pt>
                <c:pt idx="68">
                  <c:v>11.09</c:v>
                </c:pt>
                <c:pt idx="69">
                  <c:v>11.1</c:v>
                </c:pt>
                <c:pt idx="70">
                  <c:v>11.12</c:v>
                </c:pt>
                <c:pt idx="71">
                  <c:v>11.13</c:v>
                </c:pt>
                <c:pt idx="72">
                  <c:v>11.14</c:v>
                </c:pt>
                <c:pt idx="73">
                  <c:v>11.15</c:v>
                </c:pt>
                <c:pt idx="74">
                  <c:v>11.17</c:v>
                </c:pt>
                <c:pt idx="75">
                  <c:v>11.17</c:v>
                </c:pt>
                <c:pt idx="76">
                  <c:v>11.19</c:v>
                </c:pt>
                <c:pt idx="77">
                  <c:v>11.19</c:v>
                </c:pt>
                <c:pt idx="78">
                  <c:v>11.21</c:v>
                </c:pt>
                <c:pt idx="79">
                  <c:v>11.22</c:v>
                </c:pt>
                <c:pt idx="80">
                  <c:v>11.22</c:v>
                </c:pt>
                <c:pt idx="81">
                  <c:v>11.23</c:v>
                </c:pt>
                <c:pt idx="82">
                  <c:v>11.24</c:v>
                </c:pt>
                <c:pt idx="83">
                  <c:v>11.25</c:v>
                </c:pt>
                <c:pt idx="84">
                  <c:v>11.26</c:v>
                </c:pt>
                <c:pt idx="85">
                  <c:v>11.26</c:v>
                </c:pt>
                <c:pt idx="86">
                  <c:v>11.27</c:v>
                </c:pt>
                <c:pt idx="87">
                  <c:v>11.28</c:v>
                </c:pt>
                <c:pt idx="88">
                  <c:v>11.28</c:v>
                </c:pt>
                <c:pt idx="89">
                  <c:v>11.29</c:v>
                </c:pt>
                <c:pt idx="90">
                  <c:v>11.3</c:v>
                </c:pt>
                <c:pt idx="91">
                  <c:v>11.31</c:v>
                </c:pt>
                <c:pt idx="92">
                  <c:v>11.32</c:v>
                </c:pt>
                <c:pt idx="93">
                  <c:v>11.32</c:v>
                </c:pt>
                <c:pt idx="94">
                  <c:v>11.32</c:v>
                </c:pt>
              </c:numCache>
            </c:numRef>
          </c:xVal>
          <c:yVal>
            <c:numRef>
              <c:f>'Sheet 1 - 12V 10Ah LFP Discharg'!$F$3:$F$103</c:f>
              <c:numCache>
                <c:formatCode>General</c:formatCode>
                <c:ptCount val="101"/>
                <c:pt idx="0">
                  <c:v>12.94</c:v>
                </c:pt>
                <c:pt idx="1">
                  <c:v>12.93</c:v>
                </c:pt>
                <c:pt idx="2">
                  <c:v>12.92</c:v>
                </c:pt>
                <c:pt idx="3">
                  <c:v>12.91</c:v>
                </c:pt>
                <c:pt idx="4">
                  <c:v>12.9</c:v>
                </c:pt>
                <c:pt idx="5">
                  <c:v>12.89</c:v>
                </c:pt>
                <c:pt idx="6">
                  <c:v>12.88</c:v>
                </c:pt>
                <c:pt idx="7">
                  <c:v>12.87</c:v>
                </c:pt>
                <c:pt idx="8">
                  <c:v>12.86</c:v>
                </c:pt>
                <c:pt idx="9">
                  <c:v>12.85</c:v>
                </c:pt>
                <c:pt idx="10">
                  <c:v>12.84</c:v>
                </c:pt>
                <c:pt idx="11">
                  <c:v>12.83</c:v>
                </c:pt>
                <c:pt idx="12">
                  <c:v>12.82</c:v>
                </c:pt>
                <c:pt idx="13">
                  <c:v>12.81</c:v>
                </c:pt>
                <c:pt idx="14">
                  <c:v>12.8</c:v>
                </c:pt>
                <c:pt idx="15">
                  <c:v>12.79</c:v>
                </c:pt>
                <c:pt idx="16">
                  <c:v>12.78</c:v>
                </c:pt>
                <c:pt idx="17">
                  <c:v>12.77</c:v>
                </c:pt>
                <c:pt idx="18">
                  <c:v>12.76</c:v>
                </c:pt>
                <c:pt idx="19">
                  <c:v>12.75</c:v>
                </c:pt>
                <c:pt idx="20">
                  <c:v>12.74</c:v>
                </c:pt>
                <c:pt idx="21">
                  <c:v>12.73</c:v>
                </c:pt>
                <c:pt idx="22">
                  <c:v>12.72</c:v>
                </c:pt>
                <c:pt idx="23">
                  <c:v>12.71</c:v>
                </c:pt>
                <c:pt idx="24">
                  <c:v>12.7</c:v>
                </c:pt>
                <c:pt idx="25">
                  <c:v>12.69</c:v>
                </c:pt>
                <c:pt idx="26">
                  <c:v>12.68</c:v>
                </c:pt>
                <c:pt idx="27">
                  <c:v>12.67</c:v>
                </c:pt>
                <c:pt idx="28">
                  <c:v>12.66</c:v>
                </c:pt>
                <c:pt idx="29">
                  <c:v>12.65</c:v>
                </c:pt>
                <c:pt idx="30">
                  <c:v>12.64</c:v>
                </c:pt>
                <c:pt idx="31">
                  <c:v>12.63</c:v>
                </c:pt>
                <c:pt idx="32">
                  <c:v>12.62</c:v>
                </c:pt>
                <c:pt idx="33">
                  <c:v>12.61</c:v>
                </c:pt>
                <c:pt idx="34">
                  <c:v>12.6</c:v>
                </c:pt>
                <c:pt idx="35">
                  <c:v>12.59</c:v>
                </c:pt>
                <c:pt idx="36">
                  <c:v>12.58</c:v>
                </c:pt>
                <c:pt idx="37">
                  <c:v>12.57</c:v>
                </c:pt>
                <c:pt idx="38">
                  <c:v>12.56</c:v>
                </c:pt>
                <c:pt idx="39">
                  <c:v>12.55</c:v>
                </c:pt>
                <c:pt idx="40">
                  <c:v>12.54</c:v>
                </c:pt>
                <c:pt idx="41">
                  <c:v>12.53</c:v>
                </c:pt>
                <c:pt idx="42">
                  <c:v>12.52</c:v>
                </c:pt>
                <c:pt idx="43">
                  <c:v>12.51</c:v>
                </c:pt>
                <c:pt idx="44">
                  <c:v>12.5</c:v>
                </c:pt>
                <c:pt idx="45">
                  <c:v>12.49</c:v>
                </c:pt>
                <c:pt idx="46">
                  <c:v>12.48</c:v>
                </c:pt>
                <c:pt idx="47">
                  <c:v>12.47</c:v>
                </c:pt>
                <c:pt idx="48">
                  <c:v>12.46</c:v>
                </c:pt>
                <c:pt idx="49">
                  <c:v>12.45</c:v>
                </c:pt>
                <c:pt idx="50">
                  <c:v>12.44</c:v>
                </c:pt>
                <c:pt idx="51">
                  <c:v>12.43</c:v>
                </c:pt>
                <c:pt idx="52">
                  <c:v>12.42</c:v>
                </c:pt>
                <c:pt idx="53">
                  <c:v>12.41</c:v>
                </c:pt>
                <c:pt idx="54">
                  <c:v>12.4</c:v>
                </c:pt>
                <c:pt idx="55">
                  <c:v>12.39</c:v>
                </c:pt>
                <c:pt idx="56">
                  <c:v>12.38</c:v>
                </c:pt>
                <c:pt idx="57">
                  <c:v>12.37</c:v>
                </c:pt>
                <c:pt idx="58">
                  <c:v>12.36</c:v>
                </c:pt>
                <c:pt idx="59">
                  <c:v>12.35</c:v>
                </c:pt>
                <c:pt idx="60">
                  <c:v>12.34</c:v>
                </c:pt>
                <c:pt idx="61">
                  <c:v>12.33</c:v>
                </c:pt>
                <c:pt idx="62">
                  <c:v>12.32</c:v>
                </c:pt>
                <c:pt idx="63">
                  <c:v>12.31</c:v>
                </c:pt>
                <c:pt idx="64">
                  <c:v>12.3</c:v>
                </c:pt>
                <c:pt idx="65">
                  <c:v>12.29</c:v>
                </c:pt>
                <c:pt idx="66">
                  <c:v>12.28</c:v>
                </c:pt>
                <c:pt idx="67">
                  <c:v>12.27</c:v>
                </c:pt>
                <c:pt idx="68">
                  <c:v>12.26</c:v>
                </c:pt>
                <c:pt idx="69">
                  <c:v>12.25</c:v>
                </c:pt>
                <c:pt idx="70">
                  <c:v>12.24</c:v>
                </c:pt>
                <c:pt idx="71">
                  <c:v>12.23</c:v>
                </c:pt>
                <c:pt idx="72">
                  <c:v>12.22</c:v>
                </c:pt>
                <c:pt idx="73">
                  <c:v>12.21</c:v>
                </c:pt>
                <c:pt idx="74">
                  <c:v>12.2</c:v>
                </c:pt>
                <c:pt idx="75">
                  <c:v>12.19</c:v>
                </c:pt>
                <c:pt idx="76">
                  <c:v>12.18</c:v>
                </c:pt>
                <c:pt idx="77">
                  <c:v>12.17</c:v>
                </c:pt>
                <c:pt idx="78">
                  <c:v>12.16</c:v>
                </c:pt>
                <c:pt idx="79">
                  <c:v>12.15</c:v>
                </c:pt>
                <c:pt idx="80">
                  <c:v>12.14</c:v>
                </c:pt>
                <c:pt idx="81">
                  <c:v>12.13</c:v>
                </c:pt>
                <c:pt idx="82">
                  <c:v>12.12</c:v>
                </c:pt>
                <c:pt idx="83">
                  <c:v>12.11</c:v>
                </c:pt>
                <c:pt idx="84">
                  <c:v>12.1</c:v>
                </c:pt>
                <c:pt idx="85">
                  <c:v>12.09</c:v>
                </c:pt>
                <c:pt idx="86">
                  <c:v>12.08</c:v>
                </c:pt>
                <c:pt idx="87">
                  <c:v>12.07</c:v>
                </c:pt>
                <c:pt idx="88">
                  <c:v>12.06</c:v>
                </c:pt>
                <c:pt idx="89">
                  <c:v>12.05</c:v>
                </c:pt>
                <c:pt idx="90">
                  <c:v>12.04</c:v>
                </c:pt>
                <c:pt idx="91">
                  <c:v>12.03</c:v>
                </c:pt>
                <c:pt idx="92">
                  <c:v>12.02</c:v>
                </c:pt>
                <c:pt idx="93">
                  <c:v>12.01</c:v>
                </c:pt>
                <c:pt idx="94">
                  <c:v>12</c:v>
                </c:pt>
              </c:numCache>
            </c:numRef>
          </c:yVal>
        </c:ser>
        <c:ser>
          <c:idx val="2"/>
          <c:order val="2"/>
          <c:tx>
            <c:strRef>
              <c:f>'Sheet 1 - 12V 10Ah LFP Discharg'!$G$2</c:f>
              <c:strCache>
                <c:ptCount val="1"/>
                <c:pt idx="0">
                  <c:v>07-17-2026 (Ah)</c:v>
                </c:pt>
              </c:strCache>
            </c:strRef>
          </c:tx>
          <c:spPr>
            <a:ln w="38100" cap="flat">
              <a:solidFill>
                <a:srgbClr val="929292"/>
              </a:solidFill>
              <a:prstDash val="solid"/>
              <a:miter lim="400000"/>
            </a:ln>
            <a:effectLst/>
          </c:spPr>
          <c:marker>
            <c:symbol val="none"/>
          </c:marker>
          <c:xVal>
            <c:numRef>
              <c:f>'Sheet 1 - 12V 10Ah LFP Discharg'!$G$3:$G$103</c:f>
              <c:numCache>
                <c:formatCode>General</c:formatCode>
                <c:ptCount val="101"/>
                <c:pt idx="0">
                  <c:v>3.5000000000000003E-2</c:v>
                </c:pt>
                <c:pt idx="1">
                  <c:v>0.06</c:v>
                </c:pt>
                <c:pt idx="2">
                  <c:v>7.4999999999999997E-2</c:v>
                </c:pt>
                <c:pt idx="3">
                  <c:v>0.104</c:v>
                </c:pt>
                <c:pt idx="4">
                  <c:v>0.127</c:v>
                </c:pt>
                <c:pt idx="5">
                  <c:v>0.16400000000000001</c:v>
                </c:pt>
                <c:pt idx="6">
                  <c:v>0.185</c:v>
                </c:pt>
                <c:pt idx="7">
                  <c:v>0.22</c:v>
                </c:pt>
                <c:pt idx="8">
                  <c:v>0.26400000000000001</c:v>
                </c:pt>
                <c:pt idx="9">
                  <c:v>0.311</c:v>
                </c:pt>
                <c:pt idx="10">
                  <c:v>0.38200000000000001</c:v>
                </c:pt>
                <c:pt idx="11">
                  <c:v>0.504</c:v>
                </c:pt>
                <c:pt idx="12">
                  <c:v>0.64500000000000002</c:v>
                </c:pt>
                <c:pt idx="13">
                  <c:v>1.1279999999999999</c:v>
                </c:pt>
                <c:pt idx="14">
                  <c:v>1.5629999999999999</c:v>
                </c:pt>
                <c:pt idx="15">
                  <c:v>2.2349999999999999</c:v>
                </c:pt>
                <c:pt idx="16">
                  <c:v>3.105</c:v>
                </c:pt>
                <c:pt idx="17">
                  <c:v>3.4790000000000001</c:v>
                </c:pt>
                <c:pt idx="18">
                  <c:v>3.7149999999999999</c:v>
                </c:pt>
                <c:pt idx="19">
                  <c:v>3.827</c:v>
                </c:pt>
              </c:numCache>
            </c:numRef>
          </c:xVal>
          <c:yVal>
            <c:numRef>
              <c:f>'Sheet 1 - 12V 10Ah LFP Discharg'!$H$3:$H$103</c:f>
              <c:numCache>
                <c:formatCode>General</c:formatCode>
                <c:ptCount val="101"/>
                <c:pt idx="0">
                  <c:v>12.94</c:v>
                </c:pt>
                <c:pt idx="1">
                  <c:v>12.93</c:v>
                </c:pt>
                <c:pt idx="2">
                  <c:v>12.92</c:v>
                </c:pt>
                <c:pt idx="3">
                  <c:v>12.91</c:v>
                </c:pt>
                <c:pt idx="4">
                  <c:v>12.9</c:v>
                </c:pt>
                <c:pt idx="5">
                  <c:v>12.89</c:v>
                </c:pt>
                <c:pt idx="6">
                  <c:v>12.88</c:v>
                </c:pt>
                <c:pt idx="7">
                  <c:v>12.87</c:v>
                </c:pt>
                <c:pt idx="8">
                  <c:v>12.86</c:v>
                </c:pt>
                <c:pt idx="9">
                  <c:v>12.85</c:v>
                </c:pt>
                <c:pt idx="10">
                  <c:v>12.84</c:v>
                </c:pt>
                <c:pt idx="11">
                  <c:v>12.83</c:v>
                </c:pt>
                <c:pt idx="12">
                  <c:v>12.82</c:v>
                </c:pt>
                <c:pt idx="13">
                  <c:v>12.81</c:v>
                </c:pt>
                <c:pt idx="14">
                  <c:v>12.8</c:v>
                </c:pt>
                <c:pt idx="15">
                  <c:v>12.79</c:v>
                </c:pt>
                <c:pt idx="16">
                  <c:v>12.78</c:v>
                </c:pt>
                <c:pt idx="17">
                  <c:v>12.77</c:v>
                </c:pt>
                <c:pt idx="18">
                  <c:v>12.76</c:v>
                </c:pt>
                <c:pt idx="19">
                  <c:v>12.75</c:v>
                </c:pt>
              </c:numCache>
            </c:numRef>
          </c:yVal>
        </c:ser>
        <c:axId val="169576704"/>
        <c:axId val="169582592"/>
      </c:scatterChart>
      <c:valAx>
        <c:axId val="169576704"/>
        <c:scaling>
          <c:orientation val="minMax"/>
        </c:scaling>
        <c:axPos val="b"/>
        <c:numFmt formatCode="General" sourceLinked="1"/>
        <c:majorTickMark val="none"/>
        <c:tickLblPos val="nextTo"/>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169582592"/>
        <c:crosses val="autoZero"/>
        <c:crossBetween val="between"/>
        <c:majorUnit val="1"/>
        <c:minorUnit val="0.5"/>
      </c:valAx>
      <c:valAx>
        <c:axId val="169582592"/>
        <c:scaling>
          <c:orientation val="minMax"/>
          <c:max val="13"/>
          <c:min val="12"/>
        </c:scaling>
        <c:axPos val="l"/>
        <c:majorGridlines>
          <c:spPr>
            <a:ln w="6350" cap="flat">
              <a:solidFill>
                <a:srgbClr val="B8B8B8"/>
              </a:solidFill>
              <a:prstDash val="solid"/>
              <a:miter lim="400000"/>
            </a:ln>
          </c:spPr>
        </c:majorGridlines>
        <c:numFmt formatCode="General" sourceLinked="1"/>
        <c:maj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169576704"/>
        <c:crosses val="autoZero"/>
        <c:crossBetween val="between"/>
        <c:majorUnit val="0.25"/>
        <c:minorUnit val="0.125"/>
      </c:valAx>
      <c:spPr>
        <a:noFill/>
        <a:ln w="12700" cap="flat">
          <a:noFill/>
          <a:miter lim="400000"/>
        </a:ln>
        <a:effectLst/>
      </c:spPr>
    </c:plotArea>
    <c:legend>
      <c:legendPos val="t"/>
      <c:layout>
        <c:manualLayout>
          <c:xMode val="edge"/>
          <c:yMode val="edge"/>
          <c:x val="7.5607700000000014E-2"/>
          <c:y val="0"/>
          <c:w val="0.88914199999999999"/>
          <c:h val="6.4066700000000226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chart>
  <c:spPr>
    <a:noFill/>
    <a:ln>
      <a:noFill/>
    </a:ln>
    <a:effectLst/>
  </c:spPr>
  <c:printSettings>
    <c:headerFooter/>
    <c:pageMargins b="0.75000000000000167" l="0.70000000000000062" r="0.70000000000000062" t="0.7500000000000016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9.1082900000000008E-2"/>
          <c:y val="0.12368000000000012"/>
          <c:w val="0.89393599999999951"/>
          <c:h val="0.8103369999999982"/>
        </c:manualLayout>
      </c:layout>
      <c:scatterChart>
        <c:scatterStyle val="lineMarker"/>
        <c:ser>
          <c:idx val="0"/>
          <c:order val="0"/>
          <c:tx>
            <c:strRef>
              <c:f>'Sheet 1-1 - 12V 10Ah LFP Discha'!$D$2</c:f>
              <c:strCache>
                <c:ptCount val="1"/>
                <c:pt idx="0">
                  <c:v>Voltage (V)</c:v>
                </c:pt>
              </c:strCache>
            </c:strRef>
          </c:tx>
          <c:spPr>
            <a:ln w="38100" cap="flat">
              <a:solidFill>
                <a:schemeClr val="accent1"/>
              </a:solidFill>
              <a:prstDash val="solid"/>
              <a:miter lim="400000"/>
            </a:ln>
            <a:effectLst/>
          </c:spPr>
          <c:marker>
            <c:symbol val="none"/>
          </c:marker>
          <c:xVal>
            <c:numRef>
              <c:f>('Sheet 1-1 - 12V 10Ah LFP Discha'!$C$3:$C$103,'Sheet 1-1 - 12V 10Ah LFP Discha'!$C$109:$C$203)</c:f>
              <c:numCache>
                <c:formatCode>General</c:formatCode>
                <c:ptCount val="196"/>
                <c:pt idx="0">
                  <c:v>3.3220000000000001</c:v>
                </c:pt>
                <c:pt idx="1">
                  <c:v>3.323</c:v>
                </c:pt>
                <c:pt idx="2">
                  <c:v>3.3250000000000002</c:v>
                </c:pt>
                <c:pt idx="3">
                  <c:v>3.3279999999999998</c:v>
                </c:pt>
                <c:pt idx="4">
                  <c:v>3.331</c:v>
                </c:pt>
                <c:pt idx="5">
                  <c:v>3.3370000000000002</c:v>
                </c:pt>
                <c:pt idx="6">
                  <c:v>3.3410000000000002</c:v>
                </c:pt>
                <c:pt idx="7">
                  <c:v>3.3490000000000002</c:v>
                </c:pt>
                <c:pt idx="8">
                  <c:v>3.3730000000000002</c:v>
                </c:pt>
                <c:pt idx="9">
                  <c:v>3.7040000000000002</c:v>
                </c:pt>
                <c:pt idx="10">
                  <c:v>3.8039999999999998</c:v>
                </c:pt>
                <c:pt idx="11">
                  <c:v>3.8570000000000002</c:v>
                </c:pt>
                <c:pt idx="12">
                  <c:v>3.9140000000000001</c:v>
                </c:pt>
                <c:pt idx="13">
                  <c:v>3.9529999999999998</c:v>
                </c:pt>
                <c:pt idx="14">
                  <c:v>4.0119999999999996</c:v>
                </c:pt>
                <c:pt idx="15">
                  <c:v>4.0439999999999996</c:v>
                </c:pt>
                <c:pt idx="16">
                  <c:v>4.0830000000000002</c:v>
                </c:pt>
                <c:pt idx="17">
                  <c:v>4.1139999999999999</c:v>
                </c:pt>
                <c:pt idx="18">
                  <c:v>4.1669999999999998</c:v>
                </c:pt>
                <c:pt idx="19">
                  <c:v>4.234</c:v>
                </c:pt>
                <c:pt idx="20">
                  <c:v>4.3179999999999996</c:v>
                </c:pt>
                <c:pt idx="21">
                  <c:v>4.5369999999999999</c:v>
                </c:pt>
                <c:pt idx="22">
                  <c:v>4.6790000000000003</c:v>
                </c:pt>
                <c:pt idx="23">
                  <c:v>5.0970000000000004</c:v>
                </c:pt>
                <c:pt idx="24">
                  <c:v>5.98</c:v>
                </c:pt>
                <c:pt idx="25">
                  <c:v>6.7709999999999999</c:v>
                </c:pt>
                <c:pt idx="26">
                  <c:v>7.1420000000000003</c:v>
                </c:pt>
                <c:pt idx="27">
                  <c:v>7.4820000000000002</c:v>
                </c:pt>
                <c:pt idx="28">
                  <c:v>7.6479999999999997</c:v>
                </c:pt>
                <c:pt idx="29">
                  <c:v>7.835</c:v>
                </c:pt>
                <c:pt idx="30">
                  <c:v>7.9470000000000001</c:v>
                </c:pt>
                <c:pt idx="31">
                  <c:v>8.0449999999999999</c:v>
                </c:pt>
                <c:pt idx="32">
                  <c:v>8.1240000000000006</c:v>
                </c:pt>
                <c:pt idx="33">
                  <c:v>8.234</c:v>
                </c:pt>
                <c:pt idx="34">
                  <c:v>8.327</c:v>
                </c:pt>
                <c:pt idx="35">
                  <c:v>8.4589999999999996</c:v>
                </c:pt>
                <c:pt idx="36">
                  <c:v>8.5299999999999994</c:v>
                </c:pt>
                <c:pt idx="37">
                  <c:v>8.6</c:v>
                </c:pt>
                <c:pt idx="38">
                  <c:v>8.7050000000000001</c:v>
                </c:pt>
                <c:pt idx="39">
                  <c:v>8.7870000000000008</c:v>
                </c:pt>
                <c:pt idx="40">
                  <c:v>8.9130000000000003</c:v>
                </c:pt>
                <c:pt idx="41">
                  <c:v>9.0380000000000003</c:v>
                </c:pt>
                <c:pt idx="42">
                  <c:v>9.0869999999999997</c:v>
                </c:pt>
                <c:pt idx="43">
                  <c:v>9.1890000000000001</c:v>
                </c:pt>
                <c:pt idx="44">
                  <c:v>9.2859999999999996</c:v>
                </c:pt>
                <c:pt idx="45">
                  <c:v>9.3659999999999997</c:v>
                </c:pt>
                <c:pt idx="46">
                  <c:v>9.4269999999999996</c:v>
                </c:pt>
                <c:pt idx="47">
                  <c:v>9.4909999999999997</c:v>
                </c:pt>
                <c:pt idx="48">
                  <c:v>9.5510000000000002</c:v>
                </c:pt>
                <c:pt idx="49">
                  <c:v>9.6120000000000001</c:v>
                </c:pt>
                <c:pt idx="50">
                  <c:v>9.6630000000000003</c:v>
                </c:pt>
                <c:pt idx="51">
                  <c:v>9.7219999999999995</c:v>
                </c:pt>
                <c:pt idx="52">
                  <c:v>9.7799999999999994</c:v>
                </c:pt>
                <c:pt idx="53">
                  <c:v>9.8650000000000002</c:v>
                </c:pt>
                <c:pt idx="54">
                  <c:v>9.9350000000000005</c:v>
                </c:pt>
                <c:pt idx="55">
                  <c:v>9.9879999999999995</c:v>
                </c:pt>
                <c:pt idx="56">
                  <c:v>10.02</c:v>
                </c:pt>
                <c:pt idx="57">
                  <c:v>10.077</c:v>
                </c:pt>
                <c:pt idx="58">
                  <c:v>10.118</c:v>
                </c:pt>
                <c:pt idx="59">
                  <c:v>10.157</c:v>
                </c:pt>
                <c:pt idx="60">
                  <c:v>10.199</c:v>
                </c:pt>
                <c:pt idx="61">
                  <c:v>10.237</c:v>
                </c:pt>
                <c:pt idx="62">
                  <c:v>10.304</c:v>
                </c:pt>
                <c:pt idx="63">
                  <c:v>10.41</c:v>
                </c:pt>
                <c:pt idx="64">
                  <c:v>10.577</c:v>
                </c:pt>
                <c:pt idx="65">
                  <c:v>10.676</c:v>
                </c:pt>
                <c:pt idx="66">
                  <c:v>10.733000000000001</c:v>
                </c:pt>
                <c:pt idx="67">
                  <c:v>10.831</c:v>
                </c:pt>
                <c:pt idx="68">
                  <c:v>10.88</c:v>
                </c:pt>
                <c:pt idx="69">
                  <c:v>10.914</c:v>
                </c:pt>
                <c:pt idx="70">
                  <c:v>10.952999999999999</c:v>
                </c:pt>
                <c:pt idx="71">
                  <c:v>10.978</c:v>
                </c:pt>
                <c:pt idx="72">
                  <c:v>11.005000000000001</c:v>
                </c:pt>
                <c:pt idx="73">
                  <c:v>11.031000000000001</c:v>
                </c:pt>
                <c:pt idx="74">
                  <c:v>11.05</c:v>
                </c:pt>
                <c:pt idx="75">
                  <c:v>11.067</c:v>
                </c:pt>
                <c:pt idx="76">
                  <c:v>11.077</c:v>
                </c:pt>
                <c:pt idx="77">
                  <c:v>11.087999999999999</c:v>
                </c:pt>
                <c:pt idx="78">
                  <c:v>11.1</c:v>
                </c:pt>
                <c:pt idx="79">
                  <c:v>11.114000000000001</c:v>
                </c:pt>
                <c:pt idx="80">
                  <c:v>11.121</c:v>
                </c:pt>
                <c:pt idx="81">
                  <c:v>11.132</c:v>
                </c:pt>
                <c:pt idx="82">
                  <c:v>11.141</c:v>
                </c:pt>
                <c:pt idx="83">
                  <c:v>11.153</c:v>
                </c:pt>
                <c:pt idx="84">
                  <c:v>11.157</c:v>
                </c:pt>
                <c:pt idx="85">
                  <c:v>11.169</c:v>
                </c:pt>
                <c:pt idx="86">
                  <c:v>11.178000000000001</c:v>
                </c:pt>
                <c:pt idx="87">
                  <c:v>11.186999999999999</c:v>
                </c:pt>
                <c:pt idx="88">
                  <c:v>11.196999999999999</c:v>
                </c:pt>
                <c:pt idx="89">
                  <c:v>11.205</c:v>
                </c:pt>
                <c:pt idx="90">
                  <c:v>11.211</c:v>
                </c:pt>
                <c:pt idx="91">
                  <c:v>11.218999999999999</c:v>
                </c:pt>
                <c:pt idx="92">
                  <c:v>11.224</c:v>
                </c:pt>
                <c:pt idx="93">
                  <c:v>11.234</c:v>
                </c:pt>
                <c:pt idx="94">
                  <c:v>11.241</c:v>
                </c:pt>
                <c:pt idx="95">
                  <c:v>11.249000000000001</c:v>
                </c:pt>
                <c:pt idx="96">
                  <c:v>11.256</c:v>
                </c:pt>
                <c:pt idx="97">
                  <c:v>11.266</c:v>
                </c:pt>
                <c:pt idx="98">
                  <c:v>11.273</c:v>
                </c:pt>
                <c:pt idx="99">
                  <c:v>11.281000000000001</c:v>
                </c:pt>
                <c:pt idx="100">
                  <c:v>11.289</c:v>
                </c:pt>
                <c:pt idx="101">
                  <c:v>7.3999999999999996E-2</c:v>
                </c:pt>
                <c:pt idx="102">
                  <c:v>0.84799999999999998</c:v>
                </c:pt>
                <c:pt idx="103">
                  <c:v>1.764</c:v>
                </c:pt>
                <c:pt idx="104">
                  <c:v>2.3780000000000001</c:v>
                </c:pt>
                <c:pt idx="105">
                  <c:v>2.7759999999999998</c:v>
                </c:pt>
                <c:pt idx="106">
                  <c:v>3.0670000000000002</c:v>
                </c:pt>
                <c:pt idx="107">
                  <c:v>3.29</c:v>
                </c:pt>
                <c:pt idx="108">
                  <c:v>3.4529999999999998</c:v>
                </c:pt>
                <c:pt idx="109">
                  <c:v>3.5720000000000001</c:v>
                </c:pt>
                <c:pt idx="110">
                  <c:v>3.718</c:v>
                </c:pt>
                <c:pt idx="111">
                  <c:v>3.7949999999999999</c:v>
                </c:pt>
                <c:pt idx="112">
                  <c:v>3.9409999999999998</c:v>
                </c:pt>
                <c:pt idx="113">
                  <c:v>4.0030000000000001</c:v>
                </c:pt>
                <c:pt idx="114">
                  <c:v>4.1340000000000003</c:v>
                </c:pt>
                <c:pt idx="115">
                  <c:v>4.2640000000000002</c:v>
                </c:pt>
                <c:pt idx="116">
                  <c:v>4.4669999999999996</c:v>
                </c:pt>
                <c:pt idx="117">
                  <c:v>4.782</c:v>
                </c:pt>
                <c:pt idx="118">
                  <c:v>5.085</c:v>
                </c:pt>
                <c:pt idx="119">
                  <c:v>5.5259999999999998</c:v>
                </c:pt>
                <c:pt idx="120">
                  <c:v>6.3179999999999996</c:v>
                </c:pt>
                <c:pt idx="121">
                  <c:v>6.9189999999999996</c:v>
                </c:pt>
                <c:pt idx="122">
                  <c:v>7.266</c:v>
                </c:pt>
                <c:pt idx="123">
                  <c:v>7.4740000000000002</c:v>
                </c:pt>
                <c:pt idx="124">
                  <c:v>7.742</c:v>
                </c:pt>
                <c:pt idx="125">
                  <c:v>7.923</c:v>
                </c:pt>
                <c:pt idx="126">
                  <c:v>8.0259999999999998</c:v>
                </c:pt>
                <c:pt idx="127">
                  <c:v>8.1560000000000006</c:v>
                </c:pt>
                <c:pt idx="128">
                  <c:v>8.2550000000000008</c:v>
                </c:pt>
                <c:pt idx="129">
                  <c:v>8.3439999999999994</c:v>
                </c:pt>
                <c:pt idx="130">
                  <c:v>8.452</c:v>
                </c:pt>
                <c:pt idx="131">
                  <c:v>8.5510000000000002</c:v>
                </c:pt>
                <c:pt idx="132">
                  <c:v>8.6419999999999995</c:v>
                </c:pt>
                <c:pt idx="133">
                  <c:v>8.718</c:v>
                </c:pt>
                <c:pt idx="134">
                  <c:v>8.8040000000000003</c:v>
                </c:pt>
                <c:pt idx="135">
                  <c:v>8.9280000000000008</c:v>
                </c:pt>
                <c:pt idx="136">
                  <c:v>8.984</c:v>
                </c:pt>
                <c:pt idx="137">
                  <c:v>9.1329999999999991</c:v>
                </c:pt>
                <c:pt idx="138">
                  <c:v>9.2330000000000005</c:v>
                </c:pt>
                <c:pt idx="139">
                  <c:v>9.3160000000000007</c:v>
                </c:pt>
                <c:pt idx="140">
                  <c:v>9.3870000000000005</c:v>
                </c:pt>
                <c:pt idx="141">
                  <c:v>9.44</c:v>
                </c:pt>
                <c:pt idx="142">
                  <c:v>9.5109999999999992</c:v>
                </c:pt>
                <c:pt idx="143">
                  <c:v>9.5820000000000007</c:v>
                </c:pt>
                <c:pt idx="144">
                  <c:v>9.6519999999999992</c:v>
                </c:pt>
                <c:pt idx="145">
                  <c:v>9.7200000000000006</c:v>
                </c:pt>
                <c:pt idx="146">
                  <c:v>9.7840000000000007</c:v>
                </c:pt>
                <c:pt idx="147">
                  <c:v>9.8230000000000004</c:v>
                </c:pt>
                <c:pt idx="148">
                  <c:v>9.8810000000000002</c:v>
                </c:pt>
                <c:pt idx="149">
                  <c:v>9.9649999999999999</c:v>
                </c:pt>
                <c:pt idx="150">
                  <c:v>10.01</c:v>
                </c:pt>
                <c:pt idx="151">
                  <c:v>10.039999999999999</c:v>
                </c:pt>
                <c:pt idx="152">
                  <c:v>10.08</c:v>
                </c:pt>
                <c:pt idx="153">
                  <c:v>10.16</c:v>
                </c:pt>
                <c:pt idx="154">
                  <c:v>10.19</c:v>
                </c:pt>
                <c:pt idx="155">
                  <c:v>10.220000000000001</c:v>
                </c:pt>
                <c:pt idx="156">
                  <c:v>10.29</c:v>
                </c:pt>
                <c:pt idx="157">
                  <c:v>10.34</c:v>
                </c:pt>
                <c:pt idx="158">
                  <c:v>10.48</c:v>
                </c:pt>
                <c:pt idx="159">
                  <c:v>10.64</c:v>
                </c:pt>
                <c:pt idx="160">
                  <c:v>10.72</c:v>
                </c:pt>
                <c:pt idx="161">
                  <c:v>10.8</c:v>
                </c:pt>
                <c:pt idx="162">
                  <c:v>10.88</c:v>
                </c:pt>
                <c:pt idx="163">
                  <c:v>10.93</c:v>
                </c:pt>
                <c:pt idx="164">
                  <c:v>10.97</c:v>
                </c:pt>
                <c:pt idx="165">
                  <c:v>10.99</c:v>
                </c:pt>
                <c:pt idx="166">
                  <c:v>11.03</c:v>
                </c:pt>
                <c:pt idx="167">
                  <c:v>11.05</c:v>
                </c:pt>
                <c:pt idx="168">
                  <c:v>11.07</c:v>
                </c:pt>
                <c:pt idx="169">
                  <c:v>11.09</c:v>
                </c:pt>
                <c:pt idx="170">
                  <c:v>11.1</c:v>
                </c:pt>
                <c:pt idx="171">
                  <c:v>11.12</c:v>
                </c:pt>
                <c:pt idx="172">
                  <c:v>11.13</c:v>
                </c:pt>
                <c:pt idx="173">
                  <c:v>11.14</c:v>
                </c:pt>
                <c:pt idx="174">
                  <c:v>11.15</c:v>
                </c:pt>
                <c:pt idx="175">
                  <c:v>11.17</c:v>
                </c:pt>
                <c:pt idx="176">
                  <c:v>11.17</c:v>
                </c:pt>
                <c:pt idx="177">
                  <c:v>11.19</c:v>
                </c:pt>
                <c:pt idx="178">
                  <c:v>11.19</c:v>
                </c:pt>
                <c:pt idx="179">
                  <c:v>11.21</c:v>
                </c:pt>
                <c:pt idx="180">
                  <c:v>11.22</c:v>
                </c:pt>
                <c:pt idx="181">
                  <c:v>11.22</c:v>
                </c:pt>
                <c:pt idx="182">
                  <c:v>11.23</c:v>
                </c:pt>
                <c:pt idx="183">
                  <c:v>11.24</c:v>
                </c:pt>
                <c:pt idx="184">
                  <c:v>11.25</c:v>
                </c:pt>
                <c:pt idx="185">
                  <c:v>11.26</c:v>
                </c:pt>
                <c:pt idx="186">
                  <c:v>11.26</c:v>
                </c:pt>
                <c:pt idx="187">
                  <c:v>11.27</c:v>
                </c:pt>
                <c:pt idx="188">
                  <c:v>11.28</c:v>
                </c:pt>
                <c:pt idx="189">
                  <c:v>11.28</c:v>
                </c:pt>
                <c:pt idx="190">
                  <c:v>11.29</c:v>
                </c:pt>
                <c:pt idx="191">
                  <c:v>11.3</c:v>
                </c:pt>
                <c:pt idx="192">
                  <c:v>11.31</c:v>
                </c:pt>
                <c:pt idx="193">
                  <c:v>11.32</c:v>
                </c:pt>
                <c:pt idx="194">
                  <c:v>11.32</c:v>
                </c:pt>
                <c:pt idx="195">
                  <c:v>11.32</c:v>
                </c:pt>
              </c:numCache>
            </c:numRef>
          </c:xVal>
          <c:yVal>
            <c:numRef>
              <c:f>'Sheet 1-1 - 12V 10Ah LFP Discha'!$D$3:$D$103</c:f>
              <c:numCache>
                <c:formatCode>General</c:formatCode>
                <c:ptCount val="101"/>
                <c:pt idx="0">
                  <c:v>13.01</c:v>
                </c:pt>
                <c:pt idx="1">
                  <c:v>13</c:v>
                </c:pt>
                <c:pt idx="2">
                  <c:v>12.99</c:v>
                </c:pt>
                <c:pt idx="3">
                  <c:v>12.98</c:v>
                </c:pt>
                <c:pt idx="4">
                  <c:v>12.97</c:v>
                </c:pt>
                <c:pt idx="5">
                  <c:v>12.96</c:v>
                </c:pt>
                <c:pt idx="6">
                  <c:v>12.95</c:v>
                </c:pt>
                <c:pt idx="7">
                  <c:v>12.94</c:v>
                </c:pt>
                <c:pt idx="8">
                  <c:v>12.93</c:v>
                </c:pt>
                <c:pt idx="9">
                  <c:v>12.92</c:v>
                </c:pt>
                <c:pt idx="10">
                  <c:v>12.91</c:v>
                </c:pt>
                <c:pt idx="11">
                  <c:v>12.9</c:v>
                </c:pt>
                <c:pt idx="12">
                  <c:v>12.89</c:v>
                </c:pt>
                <c:pt idx="13">
                  <c:v>12.88</c:v>
                </c:pt>
                <c:pt idx="14">
                  <c:v>12.87</c:v>
                </c:pt>
                <c:pt idx="15">
                  <c:v>12.86</c:v>
                </c:pt>
                <c:pt idx="16">
                  <c:v>12.85</c:v>
                </c:pt>
                <c:pt idx="17">
                  <c:v>12.84</c:v>
                </c:pt>
                <c:pt idx="18">
                  <c:v>12.83</c:v>
                </c:pt>
                <c:pt idx="19">
                  <c:v>12.82</c:v>
                </c:pt>
                <c:pt idx="20">
                  <c:v>12.81</c:v>
                </c:pt>
                <c:pt idx="21">
                  <c:v>12.8</c:v>
                </c:pt>
                <c:pt idx="22">
                  <c:v>12.79</c:v>
                </c:pt>
                <c:pt idx="23">
                  <c:v>12.78</c:v>
                </c:pt>
                <c:pt idx="24">
                  <c:v>12.77</c:v>
                </c:pt>
                <c:pt idx="25">
                  <c:v>12.76</c:v>
                </c:pt>
                <c:pt idx="26">
                  <c:v>12.75</c:v>
                </c:pt>
                <c:pt idx="27">
                  <c:v>12.74</c:v>
                </c:pt>
                <c:pt idx="28">
                  <c:v>12.73</c:v>
                </c:pt>
                <c:pt idx="29">
                  <c:v>12.72</c:v>
                </c:pt>
                <c:pt idx="30">
                  <c:v>12.71</c:v>
                </c:pt>
                <c:pt idx="31">
                  <c:v>12.7</c:v>
                </c:pt>
                <c:pt idx="32">
                  <c:v>12.69</c:v>
                </c:pt>
                <c:pt idx="33">
                  <c:v>12.68</c:v>
                </c:pt>
                <c:pt idx="34">
                  <c:v>12.67</c:v>
                </c:pt>
                <c:pt idx="35">
                  <c:v>12.66</c:v>
                </c:pt>
                <c:pt idx="36">
                  <c:v>12.65</c:v>
                </c:pt>
                <c:pt idx="37">
                  <c:v>12.64</c:v>
                </c:pt>
                <c:pt idx="38">
                  <c:v>12.63</c:v>
                </c:pt>
                <c:pt idx="39">
                  <c:v>12.62</c:v>
                </c:pt>
                <c:pt idx="40">
                  <c:v>12.61</c:v>
                </c:pt>
                <c:pt idx="41">
                  <c:v>12.6</c:v>
                </c:pt>
                <c:pt idx="42">
                  <c:v>12.59</c:v>
                </c:pt>
                <c:pt idx="43">
                  <c:v>12.58</c:v>
                </c:pt>
                <c:pt idx="44">
                  <c:v>12.57</c:v>
                </c:pt>
                <c:pt idx="45">
                  <c:v>12.56</c:v>
                </c:pt>
                <c:pt idx="46">
                  <c:v>12.55</c:v>
                </c:pt>
                <c:pt idx="47">
                  <c:v>12.54</c:v>
                </c:pt>
                <c:pt idx="48">
                  <c:v>12.53</c:v>
                </c:pt>
                <c:pt idx="49">
                  <c:v>12.52</c:v>
                </c:pt>
                <c:pt idx="50">
                  <c:v>12.51</c:v>
                </c:pt>
                <c:pt idx="51">
                  <c:v>12.5</c:v>
                </c:pt>
                <c:pt idx="52">
                  <c:v>12.49</c:v>
                </c:pt>
                <c:pt idx="53">
                  <c:v>12.48</c:v>
                </c:pt>
                <c:pt idx="54">
                  <c:v>12.47</c:v>
                </c:pt>
                <c:pt idx="55">
                  <c:v>12.46</c:v>
                </c:pt>
                <c:pt idx="56">
                  <c:v>12.45</c:v>
                </c:pt>
                <c:pt idx="57">
                  <c:v>12.44</c:v>
                </c:pt>
                <c:pt idx="58">
                  <c:v>12.43</c:v>
                </c:pt>
                <c:pt idx="59">
                  <c:v>12.42</c:v>
                </c:pt>
                <c:pt idx="60">
                  <c:v>12.41</c:v>
                </c:pt>
                <c:pt idx="61">
                  <c:v>12.4</c:v>
                </c:pt>
                <c:pt idx="62">
                  <c:v>12.39</c:v>
                </c:pt>
                <c:pt idx="63">
                  <c:v>12.38</c:v>
                </c:pt>
                <c:pt idx="64">
                  <c:v>12.37</c:v>
                </c:pt>
                <c:pt idx="65">
                  <c:v>12.36</c:v>
                </c:pt>
                <c:pt idx="66">
                  <c:v>12.35</c:v>
                </c:pt>
                <c:pt idx="67">
                  <c:v>12.34</c:v>
                </c:pt>
                <c:pt idx="68">
                  <c:v>12.33</c:v>
                </c:pt>
                <c:pt idx="69">
                  <c:v>12.32</c:v>
                </c:pt>
                <c:pt idx="70">
                  <c:v>12.31</c:v>
                </c:pt>
                <c:pt idx="71">
                  <c:v>12.3</c:v>
                </c:pt>
                <c:pt idx="72">
                  <c:v>12.29</c:v>
                </c:pt>
                <c:pt idx="73">
                  <c:v>12.28</c:v>
                </c:pt>
                <c:pt idx="74">
                  <c:v>12.27</c:v>
                </c:pt>
                <c:pt idx="75">
                  <c:v>12.26</c:v>
                </c:pt>
                <c:pt idx="76">
                  <c:v>12.25</c:v>
                </c:pt>
                <c:pt idx="77">
                  <c:v>12.24</c:v>
                </c:pt>
                <c:pt idx="78">
                  <c:v>12.23</c:v>
                </c:pt>
                <c:pt idx="79">
                  <c:v>12.22</c:v>
                </c:pt>
                <c:pt idx="80">
                  <c:v>12.21</c:v>
                </c:pt>
                <c:pt idx="81">
                  <c:v>12.2</c:v>
                </c:pt>
                <c:pt idx="82">
                  <c:v>12.19</c:v>
                </c:pt>
                <c:pt idx="83">
                  <c:v>12.18</c:v>
                </c:pt>
                <c:pt idx="84">
                  <c:v>12.17</c:v>
                </c:pt>
                <c:pt idx="85">
                  <c:v>12.16</c:v>
                </c:pt>
                <c:pt idx="86">
                  <c:v>12.15</c:v>
                </c:pt>
                <c:pt idx="87">
                  <c:v>12.14</c:v>
                </c:pt>
                <c:pt idx="88">
                  <c:v>12.13</c:v>
                </c:pt>
                <c:pt idx="89">
                  <c:v>12.12</c:v>
                </c:pt>
                <c:pt idx="90">
                  <c:v>12.11</c:v>
                </c:pt>
                <c:pt idx="91">
                  <c:v>12.1</c:v>
                </c:pt>
                <c:pt idx="92">
                  <c:v>12.09</c:v>
                </c:pt>
                <c:pt idx="93">
                  <c:v>12.08</c:v>
                </c:pt>
                <c:pt idx="94">
                  <c:v>12.07</c:v>
                </c:pt>
                <c:pt idx="95">
                  <c:v>12.06</c:v>
                </c:pt>
                <c:pt idx="96">
                  <c:v>12.05</c:v>
                </c:pt>
                <c:pt idx="97">
                  <c:v>12.04</c:v>
                </c:pt>
                <c:pt idx="98">
                  <c:v>12.03</c:v>
                </c:pt>
                <c:pt idx="99">
                  <c:v>12.02</c:v>
                </c:pt>
                <c:pt idx="100">
                  <c:v>12.01</c:v>
                </c:pt>
              </c:numCache>
            </c:numRef>
          </c:yVal>
        </c:ser>
        <c:axId val="169696640"/>
        <c:axId val="169702528"/>
      </c:scatterChart>
      <c:valAx>
        <c:axId val="169696640"/>
        <c:scaling>
          <c:orientation val="minMax"/>
        </c:scaling>
        <c:axPos val="b"/>
        <c:numFmt formatCode="General" sourceLinked="1"/>
        <c:majorTickMark val="none"/>
        <c:tickLblPos val="nextTo"/>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169702528"/>
        <c:crosses val="autoZero"/>
        <c:crossBetween val="between"/>
        <c:majorUnit val="3"/>
        <c:minorUnit val="1.5"/>
      </c:valAx>
      <c:valAx>
        <c:axId val="169702528"/>
        <c:scaling>
          <c:orientation val="minMax"/>
          <c:max val="13"/>
        </c:scaling>
        <c:axPos val="l"/>
        <c:majorGridlines>
          <c:spPr>
            <a:ln w="6350" cap="flat">
              <a:solidFill>
                <a:srgbClr val="B8B8B8"/>
              </a:solidFill>
              <a:prstDash val="solid"/>
              <a:miter lim="400000"/>
            </a:ln>
          </c:spPr>
        </c:majorGridlines>
        <c:numFmt formatCode="General" sourceLinked="1"/>
        <c:maj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169696640"/>
        <c:crosses val="autoZero"/>
        <c:crossBetween val="between"/>
        <c:majorUnit val="0.25"/>
        <c:minorUnit val="0.125"/>
      </c:valAx>
      <c:spPr>
        <a:noFill/>
        <a:ln w="12700" cap="flat">
          <a:noFill/>
          <a:miter lim="400000"/>
        </a:ln>
        <a:effectLst/>
      </c:spPr>
    </c:plotArea>
    <c:legend>
      <c:legendPos val="t"/>
      <c:layout>
        <c:manualLayout>
          <c:xMode val="edge"/>
          <c:yMode val="edge"/>
          <c:x val="7.5226400000000082E-2"/>
          <c:y val="0"/>
          <c:w val="0.88994100000000065"/>
          <c:h val="6.4066700000000226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chart>
  <c:spPr>
    <a:noFill/>
    <a:ln>
      <a:noFill/>
    </a:ln>
    <a:effectLst/>
  </c:spPr>
  <c:printSettings>
    <c:headerFooter/>
    <c:pageMargins b="0.75000000000000167" l="0.70000000000000062" r="0.70000000000000062" t="0.75000000000000167"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9.1001100000000015E-2"/>
          <c:y val="0.12368000000000012"/>
          <c:w val="0.89403199999999949"/>
          <c:h val="0.8103369999999982"/>
        </c:manualLayout>
      </c:layout>
      <c:scatterChart>
        <c:scatterStyle val="lineMarker"/>
        <c:ser>
          <c:idx val="0"/>
          <c:order val="0"/>
          <c:tx>
            <c:strRef>
              <c:f>'Sheet 1-1 - 12V 10Ah LFP Discha'!$C$2</c:f>
              <c:strCache>
                <c:ptCount val="1"/>
                <c:pt idx="0">
                  <c:v>Capacity (Ah)</c:v>
                </c:pt>
              </c:strCache>
            </c:strRef>
          </c:tx>
          <c:spPr>
            <a:ln w="38100" cap="flat">
              <a:solidFill>
                <a:schemeClr val="accent1"/>
              </a:solidFill>
              <a:prstDash val="solid"/>
              <a:miter lim="400000"/>
            </a:ln>
            <a:effectLst/>
          </c:spPr>
          <c:marker>
            <c:symbol val="none"/>
          </c:marker>
          <c:xVal>
            <c:numRef>
              <c:f>'Sheet 1-1 - 12V 10Ah LFP Discha'!$C$3:$C$103</c:f>
              <c:numCache>
                <c:formatCode>General</c:formatCode>
                <c:ptCount val="101"/>
                <c:pt idx="0">
                  <c:v>3.3220000000000001</c:v>
                </c:pt>
                <c:pt idx="1">
                  <c:v>3.323</c:v>
                </c:pt>
                <c:pt idx="2">
                  <c:v>3.3250000000000002</c:v>
                </c:pt>
                <c:pt idx="3">
                  <c:v>3.3279999999999998</c:v>
                </c:pt>
                <c:pt idx="4">
                  <c:v>3.331</c:v>
                </c:pt>
                <c:pt idx="5">
                  <c:v>3.3370000000000002</c:v>
                </c:pt>
                <c:pt idx="6">
                  <c:v>3.3410000000000002</c:v>
                </c:pt>
                <c:pt idx="7">
                  <c:v>3.3490000000000002</c:v>
                </c:pt>
                <c:pt idx="8">
                  <c:v>3.3730000000000002</c:v>
                </c:pt>
                <c:pt idx="9">
                  <c:v>3.7040000000000002</c:v>
                </c:pt>
                <c:pt idx="10">
                  <c:v>3.8039999999999998</c:v>
                </c:pt>
                <c:pt idx="11">
                  <c:v>3.8570000000000002</c:v>
                </c:pt>
                <c:pt idx="12">
                  <c:v>3.9140000000000001</c:v>
                </c:pt>
                <c:pt idx="13">
                  <c:v>3.9529999999999998</c:v>
                </c:pt>
                <c:pt idx="14">
                  <c:v>4.0119999999999996</c:v>
                </c:pt>
                <c:pt idx="15">
                  <c:v>4.0439999999999996</c:v>
                </c:pt>
                <c:pt idx="16">
                  <c:v>4.0830000000000002</c:v>
                </c:pt>
                <c:pt idx="17">
                  <c:v>4.1139999999999999</c:v>
                </c:pt>
                <c:pt idx="18">
                  <c:v>4.1669999999999998</c:v>
                </c:pt>
                <c:pt idx="19">
                  <c:v>4.234</c:v>
                </c:pt>
                <c:pt idx="20">
                  <c:v>4.3179999999999996</c:v>
                </c:pt>
                <c:pt idx="21">
                  <c:v>4.5369999999999999</c:v>
                </c:pt>
                <c:pt idx="22">
                  <c:v>4.6790000000000003</c:v>
                </c:pt>
                <c:pt idx="23">
                  <c:v>5.0970000000000004</c:v>
                </c:pt>
                <c:pt idx="24">
                  <c:v>5.98</c:v>
                </c:pt>
                <c:pt idx="25">
                  <c:v>6.7709999999999999</c:v>
                </c:pt>
                <c:pt idx="26">
                  <c:v>7.1420000000000003</c:v>
                </c:pt>
                <c:pt idx="27">
                  <c:v>7.4820000000000002</c:v>
                </c:pt>
                <c:pt idx="28">
                  <c:v>7.6479999999999997</c:v>
                </c:pt>
                <c:pt idx="29">
                  <c:v>7.835</c:v>
                </c:pt>
                <c:pt idx="30">
                  <c:v>7.9470000000000001</c:v>
                </c:pt>
                <c:pt idx="31">
                  <c:v>8.0449999999999999</c:v>
                </c:pt>
                <c:pt idx="32">
                  <c:v>8.1240000000000006</c:v>
                </c:pt>
                <c:pt idx="33">
                  <c:v>8.234</c:v>
                </c:pt>
                <c:pt idx="34">
                  <c:v>8.327</c:v>
                </c:pt>
                <c:pt idx="35">
                  <c:v>8.4589999999999996</c:v>
                </c:pt>
                <c:pt idx="36">
                  <c:v>8.5299999999999994</c:v>
                </c:pt>
                <c:pt idx="37">
                  <c:v>8.6</c:v>
                </c:pt>
                <c:pt idx="38">
                  <c:v>8.7050000000000001</c:v>
                </c:pt>
                <c:pt idx="39">
                  <c:v>8.7870000000000008</c:v>
                </c:pt>
                <c:pt idx="40">
                  <c:v>8.9130000000000003</c:v>
                </c:pt>
                <c:pt idx="41">
                  <c:v>9.0380000000000003</c:v>
                </c:pt>
                <c:pt idx="42">
                  <c:v>9.0869999999999997</c:v>
                </c:pt>
                <c:pt idx="43">
                  <c:v>9.1890000000000001</c:v>
                </c:pt>
                <c:pt idx="44">
                  <c:v>9.2859999999999996</c:v>
                </c:pt>
                <c:pt idx="45">
                  <c:v>9.3659999999999997</c:v>
                </c:pt>
                <c:pt idx="46">
                  <c:v>9.4269999999999996</c:v>
                </c:pt>
                <c:pt idx="47">
                  <c:v>9.4909999999999997</c:v>
                </c:pt>
                <c:pt idx="48">
                  <c:v>9.5510000000000002</c:v>
                </c:pt>
                <c:pt idx="49">
                  <c:v>9.6120000000000001</c:v>
                </c:pt>
                <c:pt idx="50">
                  <c:v>9.6630000000000003</c:v>
                </c:pt>
                <c:pt idx="51">
                  <c:v>9.7219999999999995</c:v>
                </c:pt>
                <c:pt idx="52">
                  <c:v>9.7799999999999994</c:v>
                </c:pt>
                <c:pt idx="53">
                  <c:v>9.8650000000000002</c:v>
                </c:pt>
                <c:pt idx="54">
                  <c:v>9.9350000000000005</c:v>
                </c:pt>
                <c:pt idx="55">
                  <c:v>9.9879999999999995</c:v>
                </c:pt>
                <c:pt idx="56">
                  <c:v>10.02</c:v>
                </c:pt>
                <c:pt idx="57">
                  <c:v>10.077</c:v>
                </c:pt>
                <c:pt idx="58">
                  <c:v>10.118</c:v>
                </c:pt>
                <c:pt idx="59">
                  <c:v>10.157</c:v>
                </c:pt>
                <c:pt idx="60">
                  <c:v>10.199</c:v>
                </c:pt>
                <c:pt idx="61">
                  <c:v>10.237</c:v>
                </c:pt>
                <c:pt idx="62">
                  <c:v>10.304</c:v>
                </c:pt>
                <c:pt idx="63">
                  <c:v>10.41</c:v>
                </c:pt>
                <c:pt idx="64">
                  <c:v>10.577</c:v>
                </c:pt>
                <c:pt idx="65">
                  <c:v>10.676</c:v>
                </c:pt>
                <c:pt idx="66">
                  <c:v>10.733000000000001</c:v>
                </c:pt>
                <c:pt idx="67">
                  <c:v>10.831</c:v>
                </c:pt>
                <c:pt idx="68">
                  <c:v>10.88</c:v>
                </c:pt>
                <c:pt idx="69">
                  <c:v>10.914</c:v>
                </c:pt>
                <c:pt idx="70">
                  <c:v>10.952999999999999</c:v>
                </c:pt>
                <c:pt idx="71">
                  <c:v>10.978</c:v>
                </c:pt>
                <c:pt idx="72">
                  <c:v>11.005000000000001</c:v>
                </c:pt>
                <c:pt idx="73">
                  <c:v>11.031000000000001</c:v>
                </c:pt>
                <c:pt idx="74">
                  <c:v>11.05</c:v>
                </c:pt>
                <c:pt idx="75">
                  <c:v>11.067</c:v>
                </c:pt>
                <c:pt idx="76">
                  <c:v>11.077</c:v>
                </c:pt>
                <c:pt idx="77">
                  <c:v>11.087999999999999</c:v>
                </c:pt>
                <c:pt idx="78">
                  <c:v>11.1</c:v>
                </c:pt>
                <c:pt idx="79">
                  <c:v>11.114000000000001</c:v>
                </c:pt>
                <c:pt idx="80">
                  <c:v>11.121</c:v>
                </c:pt>
                <c:pt idx="81">
                  <c:v>11.132</c:v>
                </c:pt>
                <c:pt idx="82">
                  <c:v>11.141</c:v>
                </c:pt>
                <c:pt idx="83">
                  <c:v>11.153</c:v>
                </c:pt>
                <c:pt idx="84">
                  <c:v>11.157</c:v>
                </c:pt>
                <c:pt idx="85">
                  <c:v>11.169</c:v>
                </c:pt>
                <c:pt idx="86">
                  <c:v>11.178000000000001</c:v>
                </c:pt>
                <c:pt idx="87">
                  <c:v>11.186999999999999</c:v>
                </c:pt>
                <c:pt idx="88">
                  <c:v>11.196999999999999</c:v>
                </c:pt>
                <c:pt idx="89">
                  <c:v>11.205</c:v>
                </c:pt>
                <c:pt idx="90">
                  <c:v>11.211</c:v>
                </c:pt>
                <c:pt idx="91">
                  <c:v>11.218999999999999</c:v>
                </c:pt>
                <c:pt idx="92">
                  <c:v>11.224</c:v>
                </c:pt>
                <c:pt idx="93">
                  <c:v>11.234</c:v>
                </c:pt>
                <c:pt idx="94">
                  <c:v>11.241</c:v>
                </c:pt>
                <c:pt idx="95">
                  <c:v>11.249000000000001</c:v>
                </c:pt>
                <c:pt idx="96">
                  <c:v>11.256</c:v>
                </c:pt>
                <c:pt idx="97">
                  <c:v>11.266</c:v>
                </c:pt>
                <c:pt idx="98">
                  <c:v>11.273</c:v>
                </c:pt>
                <c:pt idx="99">
                  <c:v>11.281000000000001</c:v>
                </c:pt>
                <c:pt idx="100">
                  <c:v>11.289</c:v>
                </c:pt>
              </c:numCache>
            </c:numRef>
          </c:xVal>
          <c:yVal>
            <c:numRef>
              <c:f>'Sheet 1-1 - 12V 10Ah LFP Discha'!$D$3:$D$103</c:f>
              <c:numCache>
                <c:formatCode>General</c:formatCode>
                <c:ptCount val="101"/>
                <c:pt idx="0">
                  <c:v>13.01</c:v>
                </c:pt>
                <c:pt idx="1">
                  <c:v>13</c:v>
                </c:pt>
                <c:pt idx="2">
                  <c:v>12.99</c:v>
                </c:pt>
                <c:pt idx="3">
                  <c:v>12.98</c:v>
                </c:pt>
                <c:pt idx="4">
                  <c:v>12.97</c:v>
                </c:pt>
                <c:pt idx="5">
                  <c:v>12.96</c:v>
                </c:pt>
                <c:pt idx="6">
                  <c:v>12.95</c:v>
                </c:pt>
                <c:pt idx="7">
                  <c:v>12.94</c:v>
                </c:pt>
                <c:pt idx="8">
                  <c:v>12.93</c:v>
                </c:pt>
                <c:pt idx="9">
                  <c:v>12.92</c:v>
                </c:pt>
                <c:pt idx="10">
                  <c:v>12.91</c:v>
                </c:pt>
                <c:pt idx="11">
                  <c:v>12.9</c:v>
                </c:pt>
                <c:pt idx="12">
                  <c:v>12.89</c:v>
                </c:pt>
                <c:pt idx="13">
                  <c:v>12.88</c:v>
                </c:pt>
                <c:pt idx="14">
                  <c:v>12.87</c:v>
                </c:pt>
                <c:pt idx="15">
                  <c:v>12.86</c:v>
                </c:pt>
                <c:pt idx="16">
                  <c:v>12.85</c:v>
                </c:pt>
                <c:pt idx="17">
                  <c:v>12.84</c:v>
                </c:pt>
                <c:pt idx="18">
                  <c:v>12.83</c:v>
                </c:pt>
                <c:pt idx="19">
                  <c:v>12.82</c:v>
                </c:pt>
                <c:pt idx="20">
                  <c:v>12.81</c:v>
                </c:pt>
                <c:pt idx="21">
                  <c:v>12.8</c:v>
                </c:pt>
                <c:pt idx="22">
                  <c:v>12.79</c:v>
                </c:pt>
                <c:pt idx="23">
                  <c:v>12.78</c:v>
                </c:pt>
                <c:pt idx="24">
                  <c:v>12.77</c:v>
                </c:pt>
                <c:pt idx="25">
                  <c:v>12.76</c:v>
                </c:pt>
                <c:pt idx="26">
                  <c:v>12.75</c:v>
                </c:pt>
                <c:pt idx="27">
                  <c:v>12.74</c:v>
                </c:pt>
                <c:pt idx="28">
                  <c:v>12.73</c:v>
                </c:pt>
                <c:pt idx="29">
                  <c:v>12.72</c:v>
                </c:pt>
                <c:pt idx="30">
                  <c:v>12.71</c:v>
                </c:pt>
                <c:pt idx="31">
                  <c:v>12.7</c:v>
                </c:pt>
                <c:pt idx="32">
                  <c:v>12.69</c:v>
                </c:pt>
                <c:pt idx="33">
                  <c:v>12.68</c:v>
                </c:pt>
                <c:pt idx="34">
                  <c:v>12.67</c:v>
                </c:pt>
                <c:pt idx="35">
                  <c:v>12.66</c:v>
                </c:pt>
                <c:pt idx="36">
                  <c:v>12.65</c:v>
                </c:pt>
                <c:pt idx="37">
                  <c:v>12.64</c:v>
                </c:pt>
                <c:pt idx="38">
                  <c:v>12.63</c:v>
                </c:pt>
                <c:pt idx="39">
                  <c:v>12.62</c:v>
                </c:pt>
                <c:pt idx="40">
                  <c:v>12.61</c:v>
                </c:pt>
                <c:pt idx="41">
                  <c:v>12.6</c:v>
                </c:pt>
                <c:pt idx="42">
                  <c:v>12.59</c:v>
                </c:pt>
                <c:pt idx="43">
                  <c:v>12.58</c:v>
                </c:pt>
                <c:pt idx="44">
                  <c:v>12.57</c:v>
                </c:pt>
                <c:pt idx="45">
                  <c:v>12.56</c:v>
                </c:pt>
                <c:pt idx="46">
                  <c:v>12.55</c:v>
                </c:pt>
                <c:pt idx="47">
                  <c:v>12.54</c:v>
                </c:pt>
                <c:pt idx="48">
                  <c:v>12.53</c:v>
                </c:pt>
                <c:pt idx="49">
                  <c:v>12.52</c:v>
                </c:pt>
                <c:pt idx="50">
                  <c:v>12.51</c:v>
                </c:pt>
                <c:pt idx="51">
                  <c:v>12.5</c:v>
                </c:pt>
                <c:pt idx="52">
                  <c:v>12.49</c:v>
                </c:pt>
                <c:pt idx="53">
                  <c:v>12.48</c:v>
                </c:pt>
                <c:pt idx="54">
                  <c:v>12.47</c:v>
                </c:pt>
                <c:pt idx="55">
                  <c:v>12.46</c:v>
                </c:pt>
                <c:pt idx="56">
                  <c:v>12.45</c:v>
                </c:pt>
                <c:pt idx="57">
                  <c:v>12.44</c:v>
                </c:pt>
                <c:pt idx="58">
                  <c:v>12.43</c:v>
                </c:pt>
                <c:pt idx="59">
                  <c:v>12.42</c:v>
                </c:pt>
                <c:pt idx="60">
                  <c:v>12.41</c:v>
                </c:pt>
                <c:pt idx="61">
                  <c:v>12.4</c:v>
                </c:pt>
                <c:pt idx="62">
                  <c:v>12.39</c:v>
                </c:pt>
                <c:pt idx="63">
                  <c:v>12.38</c:v>
                </c:pt>
                <c:pt idx="64">
                  <c:v>12.37</c:v>
                </c:pt>
                <c:pt idx="65">
                  <c:v>12.36</c:v>
                </c:pt>
                <c:pt idx="66">
                  <c:v>12.35</c:v>
                </c:pt>
                <c:pt idx="67">
                  <c:v>12.34</c:v>
                </c:pt>
                <c:pt idx="68">
                  <c:v>12.33</c:v>
                </c:pt>
                <c:pt idx="69">
                  <c:v>12.32</c:v>
                </c:pt>
                <c:pt idx="70">
                  <c:v>12.31</c:v>
                </c:pt>
                <c:pt idx="71">
                  <c:v>12.3</c:v>
                </c:pt>
                <c:pt idx="72">
                  <c:v>12.29</c:v>
                </c:pt>
                <c:pt idx="73">
                  <c:v>12.28</c:v>
                </c:pt>
                <c:pt idx="74">
                  <c:v>12.27</c:v>
                </c:pt>
                <c:pt idx="75">
                  <c:v>12.26</c:v>
                </c:pt>
                <c:pt idx="76">
                  <c:v>12.25</c:v>
                </c:pt>
                <c:pt idx="77">
                  <c:v>12.24</c:v>
                </c:pt>
                <c:pt idx="78">
                  <c:v>12.23</c:v>
                </c:pt>
                <c:pt idx="79">
                  <c:v>12.22</c:v>
                </c:pt>
                <c:pt idx="80">
                  <c:v>12.21</c:v>
                </c:pt>
                <c:pt idx="81">
                  <c:v>12.2</c:v>
                </c:pt>
                <c:pt idx="82">
                  <c:v>12.19</c:v>
                </c:pt>
                <c:pt idx="83">
                  <c:v>12.18</c:v>
                </c:pt>
                <c:pt idx="84">
                  <c:v>12.17</c:v>
                </c:pt>
                <c:pt idx="85">
                  <c:v>12.16</c:v>
                </c:pt>
                <c:pt idx="86">
                  <c:v>12.15</c:v>
                </c:pt>
                <c:pt idx="87">
                  <c:v>12.14</c:v>
                </c:pt>
                <c:pt idx="88">
                  <c:v>12.13</c:v>
                </c:pt>
                <c:pt idx="89">
                  <c:v>12.12</c:v>
                </c:pt>
                <c:pt idx="90">
                  <c:v>12.11</c:v>
                </c:pt>
                <c:pt idx="91">
                  <c:v>12.1</c:v>
                </c:pt>
                <c:pt idx="92">
                  <c:v>12.09</c:v>
                </c:pt>
                <c:pt idx="93">
                  <c:v>12.08</c:v>
                </c:pt>
                <c:pt idx="94">
                  <c:v>12.07</c:v>
                </c:pt>
                <c:pt idx="95">
                  <c:v>12.06</c:v>
                </c:pt>
                <c:pt idx="96">
                  <c:v>12.05</c:v>
                </c:pt>
                <c:pt idx="97">
                  <c:v>12.04</c:v>
                </c:pt>
                <c:pt idx="98">
                  <c:v>12.03</c:v>
                </c:pt>
                <c:pt idx="99">
                  <c:v>12.02</c:v>
                </c:pt>
                <c:pt idx="100">
                  <c:v>12.01</c:v>
                </c:pt>
              </c:numCache>
            </c:numRef>
          </c:yVal>
        </c:ser>
        <c:ser>
          <c:idx val="1"/>
          <c:order val="1"/>
          <c:tx>
            <c:strRef>
              <c:f>'Sheet 1-1 - 12V 10Ah LFP Discha'!$E$2</c:f>
              <c:strCache>
                <c:ptCount val="1"/>
                <c:pt idx="0">
                  <c:v>Capacity (Ah)</c:v>
                </c:pt>
              </c:strCache>
            </c:strRef>
          </c:tx>
          <c:spPr>
            <a:ln w="38100" cap="flat">
              <a:solidFill>
                <a:schemeClr val="accent3"/>
              </a:solidFill>
              <a:prstDash val="solid"/>
              <a:miter lim="400000"/>
            </a:ln>
            <a:effectLst/>
          </c:spPr>
          <c:marker>
            <c:symbol val="none"/>
          </c:marker>
          <c:xVal>
            <c:numRef>
              <c:f>'Sheet 1-1 - 12V 10Ah LFP Discha'!$E$3:$E$103</c:f>
              <c:numCache>
                <c:formatCode>General</c:formatCode>
                <c:ptCount val="101"/>
                <c:pt idx="0">
                  <c:v>7.3999999999999996E-2</c:v>
                </c:pt>
                <c:pt idx="1">
                  <c:v>0.84799999999999998</c:v>
                </c:pt>
                <c:pt idx="2">
                  <c:v>1.764</c:v>
                </c:pt>
                <c:pt idx="3">
                  <c:v>2.3780000000000001</c:v>
                </c:pt>
                <c:pt idx="4">
                  <c:v>2.7759999999999998</c:v>
                </c:pt>
                <c:pt idx="5">
                  <c:v>3.0670000000000002</c:v>
                </c:pt>
                <c:pt idx="6">
                  <c:v>3.29</c:v>
                </c:pt>
                <c:pt idx="7">
                  <c:v>3.4529999999999998</c:v>
                </c:pt>
                <c:pt idx="8">
                  <c:v>3.5720000000000001</c:v>
                </c:pt>
                <c:pt idx="9">
                  <c:v>3.718</c:v>
                </c:pt>
                <c:pt idx="10">
                  <c:v>3.7949999999999999</c:v>
                </c:pt>
                <c:pt idx="11">
                  <c:v>3.9409999999999998</c:v>
                </c:pt>
                <c:pt idx="12">
                  <c:v>4.0030000000000001</c:v>
                </c:pt>
                <c:pt idx="13">
                  <c:v>4.1340000000000003</c:v>
                </c:pt>
                <c:pt idx="14">
                  <c:v>4.2640000000000002</c:v>
                </c:pt>
                <c:pt idx="15">
                  <c:v>4.4669999999999996</c:v>
                </c:pt>
                <c:pt idx="16">
                  <c:v>4.782</c:v>
                </c:pt>
                <c:pt idx="17">
                  <c:v>5.085</c:v>
                </c:pt>
                <c:pt idx="18">
                  <c:v>5.5259999999999998</c:v>
                </c:pt>
                <c:pt idx="19">
                  <c:v>6.3179999999999996</c:v>
                </c:pt>
                <c:pt idx="20">
                  <c:v>6.9189999999999996</c:v>
                </c:pt>
                <c:pt idx="21">
                  <c:v>7.266</c:v>
                </c:pt>
                <c:pt idx="22">
                  <c:v>7.4740000000000002</c:v>
                </c:pt>
                <c:pt idx="23">
                  <c:v>7.742</c:v>
                </c:pt>
                <c:pt idx="24">
                  <c:v>7.923</c:v>
                </c:pt>
                <c:pt idx="25">
                  <c:v>8.0259999999999998</c:v>
                </c:pt>
                <c:pt idx="26">
                  <c:v>8.1560000000000006</c:v>
                </c:pt>
                <c:pt idx="27">
                  <c:v>8.2550000000000008</c:v>
                </c:pt>
                <c:pt idx="28">
                  <c:v>8.3439999999999994</c:v>
                </c:pt>
                <c:pt idx="29">
                  <c:v>8.452</c:v>
                </c:pt>
                <c:pt idx="30">
                  <c:v>8.5510000000000002</c:v>
                </c:pt>
                <c:pt idx="31">
                  <c:v>8.6419999999999995</c:v>
                </c:pt>
                <c:pt idx="32">
                  <c:v>8.718</c:v>
                </c:pt>
                <c:pt idx="33">
                  <c:v>8.8040000000000003</c:v>
                </c:pt>
                <c:pt idx="34">
                  <c:v>8.9280000000000008</c:v>
                </c:pt>
                <c:pt idx="35">
                  <c:v>8.984</c:v>
                </c:pt>
                <c:pt idx="36">
                  <c:v>9.1329999999999991</c:v>
                </c:pt>
                <c:pt idx="37">
                  <c:v>9.2330000000000005</c:v>
                </c:pt>
                <c:pt idx="38">
                  <c:v>9.3160000000000007</c:v>
                </c:pt>
                <c:pt idx="39">
                  <c:v>9.3870000000000005</c:v>
                </c:pt>
                <c:pt idx="40">
                  <c:v>9.44</c:v>
                </c:pt>
                <c:pt idx="41">
                  <c:v>9.5109999999999992</c:v>
                </c:pt>
                <c:pt idx="42">
                  <c:v>9.5820000000000007</c:v>
                </c:pt>
                <c:pt idx="43">
                  <c:v>9.6519999999999992</c:v>
                </c:pt>
                <c:pt idx="44">
                  <c:v>9.7200000000000006</c:v>
                </c:pt>
                <c:pt idx="45">
                  <c:v>9.7840000000000007</c:v>
                </c:pt>
                <c:pt idx="46">
                  <c:v>9.8230000000000004</c:v>
                </c:pt>
                <c:pt idx="47">
                  <c:v>9.8810000000000002</c:v>
                </c:pt>
                <c:pt idx="48">
                  <c:v>9.9649999999999999</c:v>
                </c:pt>
                <c:pt idx="49">
                  <c:v>10.01</c:v>
                </c:pt>
                <c:pt idx="50">
                  <c:v>10.039999999999999</c:v>
                </c:pt>
                <c:pt idx="51">
                  <c:v>10.08</c:v>
                </c:pt>
                <c:pt idx="52">
                  <c:v>10.16</c:v>
                </c:pt>
                <c:pt idx="53">
                  <c:v>10.19</c:v>
                </c:pt>
                <c:pt idx="54">
                  <c:v>10.220000000000001</c:v>
                </c:pt>
                <c:pt idx="55">
                  <c:v>10.29</c:v>
                </c:pt>
                <c:pt idx="56">
                  <c:v>10.34</c:v>
                </c:pt>
                <c:pt idx="57">
                  <c:v>10.48</c:v>
                </c:pt>
                <c:pt idx="58">
                  <c:v>10.64</c:v>
                </c:pt>
                <c:pt idx="59">
                  <c:v>10.72</c:v>
                </c:pt>
                <c:pt idx="60">
                  <c:v>10.8</c:v>
                </c:pt>
                <c:pt idx="61">
                  <c:v>10.88</c:v>
                </c:pt>
                <c:pt idx="62">
                  <c:v>10.93</c:v>
                </c:pt>
                <c:pt idx="63">
                  <c:v>10.97</c:v>
                </c:pt>
                <c:pt idx="64">
                  <c:v>10.99</c:v>
                </c:pt>
                <c:pt idx="65">
                  <c:v>11.03</c:v>
                </c:pt>
                <c:pt idx="66">
                  <c:v>11.05</c:v>
                </c:pt>
                <c:pt idx="67">
                  <c:v>11.07</c:v>
                </c:pt>
                <c:pt idx="68">
                  <c:v>11.09</c:v>
                </c:pt>
                <c:pt idx="69">
                  <c:v>11.1</c:v>
                </c:pt>
                <c:pt idx="70">
                  <c:v>11.12</c:v>
                </c:pt>
                <c:pt idx="71">
                  <c:v>11.13</c:v>
                </c:pt>
                <c:pt idx="72">
                  <c:v>11.14</c:v>
                </c:pt>
                <c:pt idx="73">
                  <c:v>11.15</c:v>
                </c:pt>
                <c:pt idx="74">
                  <c:v>11.17</c:v>
                </c:pt>
                <c:pt idx="75">
                  <c:v>11.17</c:v>
                </c:pt>
                <c:pt idx="76">
                  <c:v>11.19</c:v>
                </c:pt>
                <c:pt idx="77">
                  <c:v>11.19</c:v>
                </c:pt>
                <c:pt idx="78">
                  <c:v>11.21</c:v>
                </c:pt>
                <c:pt idx="79">
                  <c:v>11.22</c:v>
                </c:pt>
                <c:pt idx="80">
                  <c:v>11.22</c:v>
                </c:pt>
                <c:pt idx="81">
                  <c:v>11.23</c:v>
                </c:pt>
                <c:pt idx="82">
                  <c:v>11.24</c:v>
                </c:pt>
                <c:pt idx="83">
                  <c:v>11.25</c:v>
                </c:pt>
                <c:pt idx="84">
                  <c:v>11.26</c:v>
                </c:pt>
                <c:pt idx="85">
                  <c:v>11.26</c:v>
                </c:pt>
                <c:pt idx="86">
                  <c:v>11.27</c:v>
                </c:pt>
                <c:pt idx="87">
                  <c:v>11.28</c:v>
                </c:pt>
                <c:pt idx="88">
                  <c:v>11.28</c:v>
                </c:pt>
                <c:pt idx="89">
                  <c:v>11.29</c:v>
                </c:pt>
                <c:pt idx="90">
                  <c:v>11.3</c:v>
                </c:pt>
                <c:pt idx="91">
                  <c:v>11.31</c:v>
                </c:pt>
                <c:pt idx="92">
                  <c:v>11.32</c:v>
                </c:pt>
                <c:pt idx="93">
                  <c:v>11.32</c:v>
                </c:pt>
                <c:pt idx="94">
                  <c:v>11.32</c:v>
                </c:pt>
              </c:numCache>
            </c:numRef>
          </c:xVal>
          <c:yVal>
            <c:numRef>
              <c:f>'Sheet 1-1 - 12V 10Ah LFP Discha'!$F$3:$F$103</c:f>
              <c:numCache>
                <c:formatCode>General</c:formatCode>
                <c:ptCount val="101"/>
                <c:pt idx="0">
                  <c:v>12.94</c:v>
                </c:pt>
                <c:pt idx="1">
                  <c:v>12.93</c:v>
                </c:pt>
                <c:pt idx="2">
                  <c:v>12.92</c:v>
                </c:pt>
                <c:pt idx="3">
                  <c:v>12.91</c:v>
                </c:pt>
                <c:pt idx="4">
                  <c:v>12.9</c:v>
                </c:pt>
                <c:pt idx="5">
                  <c:v>12.89</c:v>
                </c:pt>
                <c:pt idx="6">
                  <c:v>12.88</c:v>
                </c:pt>
                <c:pt idx="7">
                  <c:v>12.87</c:v>
                </c:pt>
                <c:pt idx="8">
                  <c:v>12.86</c:v>
                </c:pt>
                <c:pt idx="9">
                  <c:v>12.85</c:v>
                </c:pt>
                <c:pt idx="10">
                  <c:v>12.84</c:v>
                </c:pt>
                <c:pt idx="11">
                  <c:v>12.83</c:v>
                </c:pt>
                <c:pt idx="12">
                  <c:v>12.82</c:v>
                </c:pt>
                <c:pt idx="13">
                  <c:v>12.81</c:v>
                </c:pt>
                <c:pt idx="14">
                  <c:v>12.8</c:v>
                </c:pt>
                <c:pt idx="15">
                  <c:v>12.79</c:v>
                </c:pt>
                <c:pt idx="16">
                  <c:v>12.78</c:v>
                </c:pt>
                <c:pt idx="17">
                  <c:v>12.77</c:v>
                </c:pt>
                <c:pt idx="18">
                  <c:v>12.76</c:v>
                </c:pt>
                <c:pt idx="19">
                  <c:v>12.75</c:v>
                </c:pt>
                <c:pt idx="20">
                  <c:v>12.74</c:v>
                </c:pt>
                <c:pt idx="21">
                  <c:v>12.73</c:v>
                </c:pt>
                <c:pt idx="22">
                  <c:v>12.72</c:v>
                </c:pt>
                <c:pt idx="23">
                  <c:v>12.71</c:v>
                </c:pt>
                <c:pt idx="24">
                  <c:v>12.7</c:v>
                </c:pt>
                <c:pt idx="25">
                  <c:v>12.69</c:v>
                </c:pt>
                <c:pt idx="26">
                  <c:v>12.68</c:v>
                </c:pt>
                <c:pt idx="27">
                  <c:v>12.67</c:v>
                </c:pt>
                <c:pt idx="28">
                  <c:v>12.66</c:v>
                </c:pt>
                <c:pt idx="29">
                  <c:v>12.65</c:v>
                </c:pt>
                <c:pt idx="30">
                  <c:v>12.64</c:v>
                </c:pt>
                <c:pt idx="31">
                  <c:v>12.63</c:v>
                </c:pt>
                <c:pt idx="32">
                  <c:v>12.62</c:v>
                </c:pt>
                <c:pt idx="33">
                  <c:v>12.61</c:v>
                </c:pt>
                <c:pt idx="34">
                  <c:v>12.6</c:v>
                </c:pt>
                <c:pt idx="35">
                  <c:v>12.59</c:v>
                </c:pt>
                <c:pt idx="36">
                  <c:v>12.58</c:v>
                </c:pt>
                <c:pt idx="37">
                  <c:v>12.57</c:v>
                </c:pt>
                <c:pt idx="38">
                  <c:v>12.56</c:v>
                </c:pt>
                <c:pt idx="39">
                  <c:v>12.55</c:v>
                </c:pt>
                <c:pt idx="40">
                  <c:v>12.54</c:v>
                </c:pt>
                <c:pt idx="41">
                  <c:v>12.53</c:v>
                </c:pt>
                <c:pt idx="42">
                  <c:v>12.52</c:v>
                </c:pt>
                <c:pt idx="43">
                  <c:v>12.51</c:v>
                </c:pt>
                <c:pt idx="44">
                  <c:v>12.5</c:v>
                </c:pt>
                <c:pt idx="45">
                  <c:v>12.49</c:v>
                </c:pt>
                <c:pt idx="46">
                  <c:v>12.48</c:v>
                </c:pt>
                <c:pt idx="47">
                  <c:v>12.47</c:v>
                </c:pt>
                <c:pt idx="48">
                  <c:v>12.46</c:v>
                </c:pt>
                <c:pt idx="49">
                  <c:v>12.45</c:v>
                </c:pt>
                <c:pt idx="50">
                  <c:v>12.44</c:v>
                </c:pt>
                <c:pt idx="51">
                  <c:v>12.43</c:v>
                </c:pt>
                <c:pt idx="52">
                  <c:v>12.42</c:v>
                </c:pt>
                <c:pt idx="53">
                  <c:v>12.41</c:v>
                </c:pt>
                <c:pt idx="54">
                  <c:v>12.4</c:v>
                </c:pt>
                <c:pt idx="55">
                  <c:v>12.39</c:v>
                </c:pt>
                <c:pt idx="56">
                  <c:v>12.38</c:v>
                </c:pt>
                <c:pt idx="57">
                  <c:v>12.37</c:v>
                </c:pt>
                <c:pt idx="58">
                  <c:v>12.36</c:v>
                </c:pt>
                <c:pt idx="59">
                  <c:v>12.35</c:v>
                </c:pt>
                <c:pt idx="60">
                  <c:v>12.34</c:v>
                </c:pt>
                <c:pt idx="61">
                  <c:v>12.33</c:v>
                </c:pt>
                <c:pt idx="62">
                  <c:v>12.32</c:v>
                </c:pt>
                <c:pt idx="63">
                  <c:v>12.31</c:v>
                </c:pt>
                <c:pt idx="64">
                  <c:v>12.3</c:v>
                </c:pt>
                <c:pt idx="65">
                  <c:v>12.29</c:v>
                </c:pt>
                <c:pt idx="66">
                  <c:v>12.28</c:v>
                </c:pt>
                <c:pt idx="67">
                  <c:v>12.27</c:v>
                </c:pt>
                <c:pt idx="68">
                  <c:v>12.26</c:v>
                </c:pt>
                <c:pt idx="69">
                  <c:v>12.25</c:v>
                </c:pt>
                <c:pt idx="70">
                  <c:v>12.24</c:v>
                </c:pt>
                <c:pt idx="71">
                  <c:v>12.23</c:v>
                </c:pt>
                <c:pt idx="72">
                  <c:v>12.22</c:v>
                </c:pt>
                <c:pt idx="73">
                  <c:v>12.21</c:v>
                </c:pt>
                <c:pt idx="74">
                  <c:v>12.2</c:v>
                </c:pt>
                <c:pt idx="75">
                  <c:v>12.19</c:v>
                </c:pt>
                <c:pt idx="76">
                  <c:v>12.18</c:v>
                </c:pt>
                <c:pt idx="77">
                  <c:v>12.17</c:v>
                </c:pt>
                <c:pt idx="78">
                  <c:v>12.16</c:v>
                </c:pt>
                <c:pt idx="79">
                  <c:v>12.15</c:v>
                </c:pt>
                <c:pt idx="80">
                  <c:v>12.14</c:v>
                </c:pt>
                <c:pt idx="81">
                  <c:v>12.13</c:v>
                </c:pt>
                <c:pt idx="82">
                  <c:v>12.12</c:v>
                </c:pt>
                <c:pt idx="83">
                  <c:v>12.11</c:v>
                </c:pt>
                <c:pt idx="84">
                  <c:v>12.1</c:v>
                </c:pt>
                <c:pt idx="85">
                  <c:v>12.09</c:v>
                </c:pt>
                <c:pt idx="86">
                  <c:v>12.08</c:v>
                </c:pt>
                <c:pt idx="87">
                  <c:v>12.07</c:v>
                </c:pt>
                <c:pt idx="88">
                  <c:v>12.06</c:v>
                </c:pt>
                <c:pt idx="89">
                  <c:v>12.05</c:v>
                </c:pt>
                <c:pt idx="90">
                  <c:v>12.04</c:v>
                </c:pt>
                <c:pt idx="91">
                  <c:v>12.03</c:v>
                </c:pt>
                <c:pt idx="92">
                  <c:v>12.02</c:v>
                </c:pt>
                <c:pt idx="93">
                  <c:v>12.01</c:v>
                </c:pt>
                <c:pt idx="94">
                  <c:v>12</c:v>
                </c:pt>
              </c:numCache>
            </c:numRef>
          </c:yVal>
        </c:ser>
        <c:axId val="169755776"/>
        <c:axId val="169757312"/>
      </c:scatterChart>
      <c:valAx>
        <c:axId val="169755776"/>
        <c:scaling>
          <c:orientation val="minMax"/>
        </c:scaling>
        <c:axPos val="b"/>
        <c:numFmt formatCode="General" sourceLinked="1"/>
        <c:majorTickMark val="none"/>
        <c:tickLblPos val="nextTo"/>
        <c:spPr>
          <a:ln w="12700" cap="flat">
            <a:solidFill>
              <a:srgbClr val="000000"/>
            </a:solidFill>
            <a:prstDash val="solid"/>
            <a:miter lim="400000"/>
          </a:ln>
        </c:spPr>
        <c:txPr>
          <a:bodyPr rot="0"/>
          <a:lstStyle/>
          <a:p>
            <a:pPr>
              <a:defRPr sz="1000" b="0" i="0" u="none" strike="noStrike">
                <a:solidFill>
                  <a:schemeClr val="bg1"/>
                </a:solidFill>
                <a:latin typeface="Helvetica Neue"/>
              </a:defRPr>
            </a:pPr>
            <a:endParaRPr lang="en-US"/>
          </a:p>
        </c:txPr>
        <c:crossAx val="169757312"/>
        <c:crosses val="autoZero"/>
        <c:crossBetween val="between"/>
        <c:majorUnit val="1"/>
        <c:minorUnit val="0.5"/>
      </c:valAx>
      <c:valAx>
        <c:axId val="169757312"/>
        <c:scaling>
          <c:orientation val="minMax"/>
          <c:max val="13"/>
          <c:min val="12"/>
        </c:scaling>
        <c:axPos val="l"/>
        <c:majorGridlines>
          <c:spPr>
            <a:ln w="6350" cap="flat">
              <a:solidFill>
                <a:srgbClr val="B8B8B8"/>
              </a:solidFill>
              <a:prstDash val="solid"/>
              <a:miter lim="400000"/>
            </a:ln>
          </c:spPr>
        </c:majorGridlines>
        <c:numFmt formatCode="General" sourceLinked="1"/>
        <c:majorTickMark val="none"/>
        <c:tickLblPos val="nextTo"/>
        <c:spPr>
          <a:ln w="12700" cap="flat">
            <a:noFill/>
            <a:prstDash val="solid"/>
            <a:miter lim="400000"/>
          </a:ln>
        </c:spPr>
        <c:txPr>
          <a:bodyPr rot="0"/>
          <a:lstStyle/>
          <a:p>
            <a:pPr>
              <a:defRPr sz="1000" b="0" i="0" u="none" strike="noStrike">
                <a:solidFill>
                  <a:schemeClr val="bg1"/>
                </a:solidFill>
                <a:latin typeface="Helvetica Neue"/>
              </a:defRPr>
            </a:pPr>
            <a:endParaRPr lang="en-US"/>
          </a:p>
        </c:txPr>
        <c:crossAx val="169755776"/>
        <c:crosses val="autoZero"/>
        <c:crossBetween val="between"/>
        <c:majorUnit val="0.25"/>
        <c:minorUnit val="0.125"/>
      </c:valAx>
      <c:spPr>
        <a:noFill/>
        <a:ln w="12700" cap="flat">
          <a:noFill/>
          <a:miter lim="400000"/>
        </a:ln>
        <a:effectLst/>
      </c:spPr>
    </c:plotArea>
    <c:legend>
      <c:legendPos val="t"/>
      <c:legendEntry>
        <c:idx val="0"/>
        <c:txPr>
          <a:bodyPr rot="0"/>
          <a:lstStyle/>
          <a:p>
            <a:pPr>
              <a:defRPr sz="1000" b="0" i="0" u="none" strike="noStrike">
                <a:solidFill>
                  <a:schemeClr val="bg1"/>
                </a:solidFill>
                <a:latin typeface="Helvetica Neue"/>
              </a:defRPr>
            </a:pPr>
            <a:endParaRPr lang="en-US"/>
          </a:p>
        </c:txPr>
      </c:legendEntry>
      <c:legendEntry>
        <c:idx val="1"/>
        <c:txPr>
          <a:bodyPr rot="0"/>
          <a:lstStyle/>
          <a:p>
            <a:pPr>
              <a:defRPr sz="1000" b="0" i="0" u="none" strike="noStrike">
                <a:solidFill>
                  <a:schemeClr val="bg1"/>
                </a:solidFill>
                <a:latin typeface="Helvetica Neue"/>
              </a:defRPr>
            </a:pPr>
            <a:endParaRPr lang="en-US"/>
          </a:p>
        </c:txPr>
      </c:legendEntry>
      <c:layout>
        <c:manualLayout>
          <c:xMode val="edge"/>
          <c:yMode val="edge"/>
          <c:x val="7.5607700000000014E-2"/>
          <c:y val="0"/>
          <c:w val="0.88914199999999999"/>
          <c:h val="6.4066700000000226E-2"/>
        </c:manualLayout>
      </c:layout>
      <c:overlay val="1"/>
      <c:spPr>
        <a:noFill/>
        <a:ln w="12700" cap="flat">
          <a:solidFill>
            <a:schemeClr val="bg1"/>
          </a:solid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chart>
  <c:spPr>
    <a:solidFill>
      <a:schemeClr val="tx1"/>
    </a:solidFill>
    <a:ln>
      <a:noFill/>
    </a:ln>
    <a:effectLst/>
  </c:spPr>
  <c:printSettings>
    <c:headerFooter/>
    <c:pageMargins b="0.75000000000000167" l="0.70000000000000062" r="0.70000000000000062" t="0.7500000000000016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6.4312400000000325E-2"/>
          <c:y val="0.12368000000000012"/>
          <c:w val="0.88765000000000005"/>
          <c:h val="0.8103369999999982"/>
        </c:manualLayout>
      </c:layout>
      <c:scatterChart>
        <c:scatterStyle val="smoothMarker"/>
        <c:ser>
          <c:idx val="0"/>
          <c:order val="0"/>
          <c:tx>
            <c:strRef>
              <c:f>'Solar Panel Comparisons - Solar'!$C$2</c:f>
              <c:strCache>
                <c:ptCount val="1"/>
                <c:pt idx="0">
                  <c:v>Fixed (A)</c:v>
                </c:pt>
              </c:strCache>
            </c:strRef>
          </c:tx>
          <c:spPr>
            <a:ln w="38100" cap="flat">
              <a:solidFill>
                <a:schemeClr val="accent1"/>
              </a:solidFill>
              <a:prstDash val="solid"/>
              <a:miter lim="400000"/>
            </a:ln>
            <a:effectLst/>
          </c:spPr>
          <c:marker>
            <c:symbol val="none"/>
          </c:marker>
          <c:xVal>
            <c:numRef>
              <c:f>'Solar Panel Comparisons - Solar'!$B$3:$B$28</c:f>
              <c:numCache>
                <c:formatCode>h:mm\ AM/PM</c:formatCode>
                <c:ptCount val="26"/>
                <c:pt idx="0">
                  <c:v>46225.28125</c:v>
                </c:pt>
                <c:pt idx="1">
                  <c:v>46225.302083333336</c:v>
                </c:pt>
                <c:pt idx="2">
                  <c:v>46225.322916666664</c:v>
                </c:pt>
                <c:pt idx="3">
                  <c:v>46225.34375</c:v>
                </c:pt>
                <c:pt idx="4">
                  <c:v>46225.364583333336</c:v>
                </c:pt>
                <c:pt idx="5">
                  <c:v>46225.385416666664</c:v>
                </c:pt>
                <c:pt idx="6">
                  <c:v>46225.385416666664</c:v>
                </c:pt>
                <c:pt idx="7">
                  <c:v>46225.40625</c:v>
                </c:pt>
                <c:pt idx="8">
                  <c:v>46225.427083333336</c:v>
                </c:pt>
                <c:pt idx="9">
                  <c:v>46225.447916666664</c:v>
                </c:pt>
                <c:pt idx="10">
                  <c:v>46225.46875</c:v>
                </c:pt>
                <c:pt idx="11">
                  <c:v>46225.489583333336</c:v>
                </c:pt>
                <c:pt idx="12">
                  <c:v>46225.510416666664</c:v>
                </c:pt>
                <c:pt idx="13">
                  <c:v>46225.53125</c:v>
                </c:pt>
                <c:pt idx="14">
                  <c:v>46225.552083333336</c:v>
                </c:pt>
                <c:pt idx="15">
                  <c:v>46225.572916666664</c:v>
                </c:pt>
                <c:pt idx="16">
                  <c:v>46225.59375</c:v>
                </c:pt>
                <c:pt idx="17">
                  <c:v>46225.614583333336</c:v>
                </c:pt>
                <c:pt idx="18">
                  <c:v>46225.635416666664</c:v>
                </c:pt>
                <c:pt idx="19">
                  <c:v>46225.65625</c:v>
                </c:pt>
                <c:pt idx="20">
                  <c:v>46225.677083333336</c:v>
                </c:pt>
                <c:pt idx="21">
                  <c:v>46225.697916666664</c:v>
                </c:pt>
                <c:pt idx="22">
                  <c:v>46225.697916666664</c:v>
                </c:pt>
                <c:pt idx="23">
                  <c:v>46225.71875</c:v>
                </c:pt>
                <c:pt idx="24">
                  <c:v>46225.739583333336</c:v>
                </c:pt>
                <c:pt idx="25">
                  <c:v>46225.760416666664</c:v>
                </c:pt>
              </c:numCache>
            </c:numRef>
          </c:xVal>
          <c:yVal>
            <c:numRef>
              <c:f>'Solar Panel Comparisons - Solar'!$C$3:$C$28</c:f>
              <c:numCache>
                <c:formatCode>General</c:formatCode>
                <c:ptCount val="26"/>
                <c:pt idx="0">
                  <c:v>0.72</c:v>
                </c:pt>
                <c:pt idx="1">
                  <c:v>0.59</c:v>
                </c:pt>
                <c:pt idx="2">
                  <c:v>0.47</c:v>
                </c:pt>
                <c:pt idx="3">
                  <c:v>0.35</c:v>
                </c:pt>
                <c:pt idx="4">
                  <c:v>0.24</c:v>
                </c:pt>
                <c:pt idx="5">
                  <c:v>0.12</c:v>
                </c:pt>
                <c:pt idx="6">
                  <c:v>0.71</c:v>
                </c:pt>
                <c:pt idx="7">
                  <c:v>0.64</c:v>
                </c:pt>
                <c:pt idx="8">
                  <c:v>0.54</c:v>
                </c:pt>
                <c:pt idx="9">
                  <c:v>0.47</c:v>
                </c:pt>
                <c:pt idx="10">
                  <c:v>0.4</c:v>
                </c:pt>
                <c:pt idx="11">
                  <c:v>0.36</c:v>
                </c:pt>
                <c:pt idx="12">
                  <c:v>0.34</c:v>
                </c:pt>
                <c:pt idx="13">
                  <c:v>0.32</c:v>
                </c:pt>
                <c:pt idx="14">
                  <c:v>0.33</c:v>
                </c:pt>
                <c:pt idx="15">
                  <c:v>0.34</c:v>
                </c:pt>
                <c:pt idx="16">
                  <c:v>0.38</c:v>
                </c:pt>
                <c:pt idx="17">
                  <c:v>0.42</c:v>
                </c:pt>
                <c:pt idx="18">
                  <c:v>0.47</c:v>
                </c:pt>
                <c:pt idx="19">
                  <c:v>0.55000000000000004</c:v>
                </c:pt>
                <c:pt idx="20">
                  <c:v>0.65</c:v>
                </c:pt>
                <c:pt idx="21">
                  <c:v>0.75</c:v>
                </c:pt>
                <c:pt idx="22">
                  <c:v>0.1</c:v>
                </c:pt>
                <c:pt idx="23">
                  <c:v>0.2</c:v>
                </c:pt>
                <c:pt idx="24">
                  <c:v>0.32</c:v>
                </c:pt>
                <c:pt idx="25">
                  <c:v>0.45</c:v>
                </c:pt>
              </c:numCache>
            </c:numRef>
          </c:yVal>
          <c:smooth val="1"/>
        </c:ser>
        <c:axId val="169815040"/>
        <c:axId val="169816832"/>
      </c:scatterChart>
      <c:valAx>
        <c:axId val="169815040"/>
        <c:scaling>
          <c:orientation val="minMax"/>
          <c:min val="806395000"/>
        </c:scaling>
        <c:axPos val="b"/>
        <c:numFmt formatCode="h:mm\ AM/PM" sourceLinked="1"/>
        <c:majorTickMark val="none"/>
        <c:tickLblPos val="nextTo"/>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169816832"/>
        <c:crosses val="autoZero"/>
        <c:crossBetween val="between"/>
      </c:valAx>
      <c:valAx>
        <c:axId val="169816832"/>
        <c:scaling>
          <c:orientation val="minMax"/>
        </c:scaling>
        <c:axPos val="l"/>
        <c:majorGridlines>
          <c:spPr>
            <a:ln w="6350" cap="flat">
              <a:solidFill>
                <a:srgbClr val="B8B8B8"/>
              </a:solidFill>
              <a:prstDash val="solid"/>
              <a:miter lim="400000"/>
            </a:ln>
          </c:spPr>
        </c:majorGridlines>
        <c:numFmt formatCode="General" sourceLinked="1"/>
        <c:maj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169815040"/>
        <c:crosses val="autoZero"/>
        <c:crossBetween val="between"/>
        <c:majorUnit val="0.2"/>
        <c:minorUnit val="0.1"/>
      </c:valAx>
      <c:spPr>
        <a:noFill/>
        <a:ln w="12700" cap="flat">
          <a:noFill/>
          <a:miter lim="400000"/>
        </a:ln>
        <a:effectLst/>
      </c:spPr>
    </c:plotArea>
    <c:legend>
      <c:legendPos val="t"/>
      <c:layout>
        <c:manualLayout>
          <c:xMode val="edge"/>
          <c:yMode val="edge"/>
          <c:x val="4.0081200000000004E-2"/>
          <c:y val="0"/>
          <c:w val="0.9"/>
          <c:h val="6.4066700000000226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chart>
  <c:spPr>
    <a:noFill/>
    <a:ln>
      <a:noFill/>
    </a:ln>
    <a:effectLst/>
  </c:spPr>
  <c:printSettings>
    <c:headerFooter/>
    <c:pageMargins b="0.75000000000000167" l="0.70000000000000062" r="0.70000000000000062" t="0.75000000000000167"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solidFill>
                  <a:schemeClr val="bg1"/>
                </a:solidFill>
                <a:latin typeface="Arial" pitchFamily="34" charset="0"/>
                <a:cs typeface="Arial" pitchFamily="34" charset="0"/>
              </a:defRPr>
            </a:pPr>
            <a:r>
              <a:rPr lang="en-US">
                <a:solidFill>
                  <a:schemeClr val="bg1"/>
                </a:solidFill>
                <a:latin typeface="Arial" pitchFamily="34" charset="0"/>
                <a:cs typeface="Arial" pitchFamily="34" charset="0"/>
              </a:rPr>
              <a:t>Current Generation</a:t>
            </a:r>
            <a:r>
              <a:rPr lang="en-US" baseline="0">
                <a:solidFill>
                  <a:schemeClr val="bg1"/>
                </a:solidFill>
                <a:latin typeface="Arial" pitchFamily="34" charset="0"/>
                <a:cs typeface="Arial" pitchFamily="34" charset="0"/>
              </a:rPr>
              <a:t> over Time</a:t>
            </a:r>
            <a:endParaRPr lang="en-US">
              <a:solidFill>
                <a:schemeClr val="bg1"/>
              </a:solidFill>
              <a:latin typeface="Arial" pitchFamily="34" charset="0"/>
              <a:cs typeface="Arial" pitchFamily="34" charset="0"/>
            </a:endParaRPr>
          </a:p>
        </c:rich>
      </c:tx>
      <c:layout/>
    </c:title>
    <c:plotArea>
      <c:layout/>
      <c:lineChart>
        <c:grouping val="standard"/>
        <c:ser>
          <c:idx val="0"/>
          <c:order val="0"/>
          <c:tx>
            <c:strRef>
              <c:f>Sheet1!$B$1</c:f>
              <c:strCache>
                <c:ptCount val="1"/>
                <c:pt idx="0">
                  <c:v>Fixed at 34 Degrees</c:v>
                </c:pt>
              </c:strCache>
            </c:strRef>
          </c:tx>
          <c:marker>
            <c:symbol val="none"/>
          </c:marker>
          <c:cat>
            <c:numRef>
              <c:f>Sheet1!$A$2:$A$27</c:f>
              <c:numCache>
                <c:formatCode>h:mm\ AM/PM</c:formatCode>
                <c:ptCount val="26"/>
                <c:pt idx="0">
                  <c:v>46225.28125</c:v>
                </c:pt>
                <c:pt idx="1">
                  <c:v>46225.302083333336</c:v>
                </c:pt>
                <c:pt idx="2">
                  <c:v>46225.322916666664</c:v>
                </c:pt>
                <c:pt idx="3">
                  <c:v>46225.34375</c:v>
                </c:pt>
                <c:pt idx="4">
                  <c:v>46225.364583333336</c:v>
                </c:pt>
                <c:pt idx="5">
                  <c:v>46225.385416666664</c:v>
                </c:pt>
                <c:pt idx="6">
                  <c:v>46225.40625</c:v>
                </c:pt>
                <c:pt idx="7">
                  <c:v>46225.427083333336</c:v>
                </c:pt>
                <c:pt idx="8">
                  <c:v>46225.447916666664</c:v>
                </c:pt>
                <c:pt idx="9">
                  <c:v>46225.46875</c:v>
                </c:pt>
                <c:pt idx="10">
                  <c:v>46225.489583333336</c:v>
                </c:pt>
                <c:pt idx="11">
                  <c:v>46225.510416666664</c:v>
                </c:pt>
                <c:pt idx="12">
                  <c:v>46225.53125</c:v>
                </c:pt>
                <c:pt idx="13">
                  <c:v>46225.552083333336</c:v>
                </c:pt>
                <c:pt idx="14">
                  <c:v>46225.572916666664</c:v>
                </c:pt>
                <c:pt idx="15">
                  <c:v>46225.59375</c:v>
                </c:pt>
                <c:pt idx="16">
                  <c:v>46225.614583333336</c:v>
                </c:pt>
                <c:pt idx="17">
                  <c:v>46225.635416666664</c:v>
                </c:pt>
                <c:pt idx="18">
                  <c:v>46225.65625</c:v>
                </c:pt>
                <c:pt idx="19">
                  <c:v>46225.677083333336</c:v>
                </c:pt>
                <c:pt idx="20">
                  <c:v>46225.697916666664</c:v>
                </c:pt>
                <c:pt idx="21">
                  <c:v>46225.71875</c:v>
                </c:pt>
                <c:pt idx="22">
                  <c:v>46225.739583333336</c:v>
                </c:pt>
                <c:pt idx="23">
                  <c:v>46225.760416666664</c:v>
                </c:pt>
                <c:pt idx="24">
                  <c:v>0.78125</c:v>
                </c:pt>
                <c:pt idx="25">
                  <c:v>0.80208333333333337</c:v>
                </c:pt>
              </c:numCache>
            </c:numRef>
          </c:cat>
          <c:val>
            <c:numRef>
              <c:f>Sheet1!$B$2:$B$27</c:f>
              <c:numCache>
                <c:formatCode>General</c:formatCode>
                <c:ptCount val="26"/>
                <c:pt idx="0">
                  <c:v>5.0000000000000001E-3</c:v>
                </c:pt>
                <c:pt idx="1">
                  <c:v>0.03</c:v>
                </c:pt>
                <c:pt idx="2">
                  <c:v>0.13</c:v>
                </c:pt>
                <c:pt idx="3">
                  <c:v>0.23</c:v>
                </c:pt>
                <c:pt idx="4">
                  <c:v>0.37</c:v>
                </c:pt>
                <c:pt idx="5">
                  <c:v>0.49</c:v>
                </c:pt>
                <c:pt idx="6">
                  <c:v>0.6</c:v>
                </c:pt>
                <c:pt idx="7">
                  <c:v>0.7</c:v>
                </c:pt>
                <c:pt idx="8">
                  <c:v>0.8</c:v>
                </c:pt>
                <c:pt idx="9">
                  <c:v>0.87</c:v>
                </c:pt>
                <c:pt idx="10">
                  <c:v>0.93</c:v>
                </c:pt>
                <c:pt idx="11">
                  <c:v>0.98</c:v>
                </c:pt>
                <c:pt idx="12">
                  <c:v>0.99</c:v>
                </c:pt>
                <c:pt idx="13">
                  <c:v>0.99</c:v>
                </c:pt>
                <c:pt idx="14">
                  <c:v>0.97</c:v>
                </c:pt>
                <c:pt idx="15">
                  <c:v>0.93</c:v>
                </c:pt>
                <c:pt idx="16">
                  <c:v>0.88</c:v>
                </c:pt>
                <c:pt idx="17">
                  <c:v>0.83</c:v>
                </c:pt>
                <c:pt idx="18">
                  <c:v>0.75</c:v>
                </c:pt>
                <c:pt idx="19">
                  <c:v>0.64</c:v>
                </c:pt>
                <c:pt idx="20">
                  <c:v>0.53</c:v>
                </c:pt>
                <c:pt idx="21">
                  <c:v>0.36</c:v>
                </c:pt>
                <c:pt idx="22">
                  <c:v>0.28000000000000003</c:v>
                </c:pt>
                <c:pt idx="23">
                  <c:v>0.16</c:v>
                </c:pt>
                <c:pt idx="24">
                  <c:v>0.05</c:v>
                </c:pt>
                <c:pt idx="25">
                  <c:v>0.01</c:v>
                </c:pt>
              </c:numCache>
            </c:numRef>
          </c:val>
        </c:ser>
        <c:ser>
          <c:idx val="1"/>
          <c:order val="1"/>
          <c:tx>
            <c:strRef>
              <c:f>Sheet1!$C$1</c:f>
              <c:strCache>
                <c:ptCount val="1"/>
                <c:pt idx="0">
                  <c:v>Single Axis</c:v>
                </c:pt>
              </c:strCache>
            </c:strRef>
          </c:tx>
          <c:marker>
            <c:symbol val="none"/>
          </c:marker>
          <c:cat>
            <c:numRef>
              <c:f>Sheet1!$A$2:$A$27</c:f>
              <c:numCache>
                <c:formatCode>h:mm\ AM/PM</c:formatCode>
                <c:ptCount val="26"/>
                <c:pt idx="0">
                  <c:v>46225.28125</c:v>
                </c:pt>
                <c:pt idx="1">
                  <c:v>46225.302083333336</c:v>
                </c:pt>
                <c:pt idx="2">
                  <c:v>46225.322916666664</c:v>
                </c:pt>
                <c:pt idx="3">
                  <c:v>46225.34375</c:v>
                </c:pt>
                <c:pt idx="4">
                  <c:v>46225.364583333336</c:v>
                </c:pt>
                <c:pt idx="5">
                  <c:v>46225.385416666664</c:v>
                </c:pt>
                <c:pt idx="6">
                  <c:v>46225.40625</c:v>
                </c:pt>
                <c:pt idx="7">
                  <c:v>46225.427083333336</c:v>
                </c:pt>
                <c:pt idx="8">
                  <c:v>46225.447916666664</c:v>
                </c:pt>
                <c:pt idx="9">
                  <c:v>46225.46875</c:v>
                </c:pt>
                <c:pt idx="10">
                  <c:v>46225.489583333336</c:v>
                </c:pt>
                <c:pt idx="11">
                  <c:v>46225.510416666664</c:v>
                </c:pt>
                <c:pt idx="12">
                  <c:v>46225.53125</c:v>
                </c:pt>
                <c:pt idx="13">
                  <c:v>46225.552083333336</c:v>
                </c:pt>
                <c:pt idx="14">
                  <c:v>46225.572916666664</c:v>
                </c:pt>
                <c:pt idx="15">
                  <c:v>46225.59375</c:v>
                </c:pt>
                <c:pt idx="16">
                  <c:v>46225.614583333336</c:v>
                </c:pt>
                <c:pt idx="17">
                  <c:v>46225.635416666664</c:v>
                </c:pt>
                <c:pt idx="18">
                  <c:v>46225.65625</c:v>
                </c:pt>
                <c:pt idx="19">
                  <c:v>46225.677083333336</c:v>
                </c:pt>
                <c:pt idx="20">
                  <c:v>46225.697916666664</c:v>
                </c:pt>
                <c:pt idx="21">
                  <c:v>46225.71875</c:v>
                </c:pt>
                <c:pt idx="22">
                  <c:v>46225.739583333336</c:v>
                </c:pt>
                <c:pt idx="23">
                  <c:v>46225.760416666664</c:v>
                </c:pt>
                <c:pt idx="24">
                  <c:v>0.78125</c:v>
                </c:pt>
                <c:pt idx="25">
                  <c:v>0.80208333333333337</c:v>
                </c:pt>
              </c:numCache>
            </c:numRef>
          </c:cat>
          <c:val>
            <c:numRef>
              <c:f>Sheet1!$C$2:$C$27</c:f>
              <c:numCache>
                <c:formatCode>General</c:formatCode>
                <c:ptCount val="26"/>
                <c:pt idx="0">
                  <c:v>0.23</c:v>
                </c:pt>
                <c:pt idx="1">
                  <c:v>0.5</c:v>
                </c:pt>
                <c:pt idx="2">
                  <c:v>0.67</c:v>
                </c:pt>
                <c:pt idx="3">
                  <c:v>0.77</c:v>
                </c:pt>
                <c:pt idx="4">
                  <c:v>0.85</c:v>
                </c:pt>
                <c:pt idx="5">
                  <c:v>0.89</c:v>
                </c:pt>
                <c:pt idx="6">
                  <c:v>0.94</c:v>
                </c:pt>
                <c:pt idx="7">
                  <c:v>0.96</c:v>
                </c:pt>
                <c:pt idx="8">
                  <c:v>0.98</c:v>
                </c:pt>
                <c:pt idx="9">
                  <c:v>1</c:v>
                </c:pt>
                <c:pt idx="10">
                  <c:v>1</c:v>
                </c:pt>
                <c:pt idx="11">
                  <c:v>0.99</c:v>
                </c:pt>
                <c:pt idx="12">
                  <c:v>0.98</c:v>
                </c:pt>
                <c:pt idx="13">
                  <c:v>0.99</c:v>
                </c:pt>
                <c:pt idx="14">
                  <c:v>0.99</c:v>
                </c:pt>
                <c:pt idx="15">
                  <c:v>1</c:v>
                </c:pt>
                <c:pt idx="16">
                  <c:v>0.99</c:v>
                </c:pt>
                <c:pt idx="17">
                  <c:v>0.98</c:v>
                </c:pt>
                <c:pt idx="18">
                  <c:v>0.95</c:v>
                </c:pt>
                <c:pt idx="19">
                  <c:v>0.93</c:v>
                </c:pt>
                <c:pt idx="20">
                  <c:v>0.89</c:v>
                </c:pt>
                <c:pt idx="21">
                  <c:v>0.89</c:v>
                </c:pt>
                <c:pt idx="22">
                  <c:v>0.84</c:v>
                </c:pt>
                <c:pt idx="23">
                  <c:v>0.74</c:v>
                </c:pt>
                <c:pt idx="24">
                  <c:v>0.6</c:v>
                </c:pt>
                <c:pt idx="25">
                  <c:v>0.3</c:v>
                </c:pt>
              </c:numCache>
            </c:numRef>
          </c:val>
        </c:ser>
        <c:ser>
          <c:idx val="2"/>
          <c:order val="2"/>
          <c:tx>
            <c:strRef>
              <c:f>Sheet1!$D$1</c:f>
              <c:strCache>
                <c:ptCount val="1"/>
                <c:pt idx="0">
                  <c:v>Dual Axis</c:v>
                </c:pt>
              </c:strCache>
            </c:strRef>
          </c:tx>
          <c:marker>
            <c:symbol val="none"/>
          </c:marker>
          <c:cat>
            <c:numRef>
              <c:f>Sheet1!$A$2:$A$27</c:f>
              <c:numCache>
                <c:formatCode>h:mm\ AM/PM</c:formatCode>
                <c:ptCount val="26"/>
                <c:pt idx="0">
                  <c:v>46225.28125</c:v>
                </c:pt>
                <c:pt idx="1">
                  <c:v>46225.302083333336</c:v>
                </c:pt>
                <c:pt idx="2">
                  <c:v>46225.322916666664</c:v>
                </c:pt>
                <c:pt idx="3">
                  <c:v>46225.34375</c:v>
                </c:pt>
                <c:pt idx="4">
                  <c:v>46225.364583333336</c:v>
                </c:pt>
                <c:pt idx="5">
                  <c:v>46225.385416666664</c:v>
                </c:pt>
                <c:pt idx="6">
                  <c:v>46225.40625</c:v>
                </c:pt>
                <c:pt idx="7">
                  <c:v>46225.427083333336</c:v>
                </c:pt>
                <c:pt idx="8">
                  <c:v>46225.447916666664</c:v>
                </c:pt>
                <c:pt idx="9">
                  <c:v>46225.46875</c:v>
                </c:pt>
                <c:pt idx="10">
                  <c:v>46225.489583333336</c:v>
                </c:pt>
                <c:pt idx="11">
                  <c:v>46225.510416666664</c:v>
                </c:pt>
                <c:pt idx="12">
                  <c:v>46225.53125</c:v>
                </c:pt>
                <c:pt idx="13">
                  <c:v>46225.552083333336</c:v>
                </c:pt>
                <c:pt idx="14">
                  <c:v>46225.572916666664</c:v>
                </c:pt>
                <c:pt idx="15">
                  <c:v>46225.59375</c:v>
                </c:pt>
                <c:pt idx="16">
                  <c:v>46225.614583333336</c:v>
                </c:pt>
                <c:pt idx="17">
                  <c:v>46225.635416666664</c:v>
                </c:pt>
                <c:pt idx="18">
                  <c:v>46225.65625</c:v>
                </c:pt>
                <c:pt idx="19">
                  <c:v>46225.677083333336</c:v>
                </c:pt>
                <c:pt idx="20">
                  <c:v>46225.697916666664</c:v>
                </c:pt>
                <c:pt idx="21">
                  <c:v>46225.71875</c:v>
                </c:pt>
                <c:pt idx="22">
                  <c:v>46225.739583333336</c:v>
                </c:pt>
                <c:pt idx="23">
                  <c:v>46225.760416666664</c:v>
                </c:pt>
                <c:pt idx="24">
                  <c:v>0.78125</c:v>
                </c:pt>
                <c:pt idx="25">
                  <c:v>0.80208333333333337</c:v>
                </c:pt>
              </c:numCache>
            </c:numRef>
          </c:cat>
          <c:val>
            <c:numRef>
              <c:f>Sheet1!$D$2:$D$27</c:f>
              <c:numCache>
                <c:formatCode>General</c:formatCode>
                <c:ptCount val="26"/>
                <c:pt idx="0">
                  <c:v>0.35</c:v>
                </c:pt>
                <c:pt idx="1">
                  <c:v>0.55000000000000004</c:v>
                </c:pt>
                <c:pt idx="2">
                  <c:v>0.74</c:v>
                </c:pt>
                <c:pt idx="3">
                  <c:v>0.84</c:v>
                </c:pt>
                <c:pt idx="4">
                  <c:v>0.86</c:v>
                </c:pt>
                <c:pt idx="5">
                  <c:v>0.9</c:v>
                </c:pt>
                <c:pt idx="6">
                  <c:v>0.93</c:v>
                </c:pt>
                <c:pt idx="7">
                  <c:v>0.96</c:v>
                </c:pt>
                <c:pt idx="8">
                  <c:v>0.99</c:v>
                </c:pt>
                <c:pt idx="9">
                  <c:v>1</c:v>
                </c:pt>
                <c:pt idx="10">
                  <c:v>1.02</c:v>
                </c:pt>
                <c:pt idx="11">
                  <c:v>1.03</c:v>
                </c:pt>
                <c:pt idx="12">
                  <c:v>1.03</c:v>
                </c:pt>
                <c:pt idx="13">
                  <c:v>1.03</c:v>
                </c:pt>
                <c:pt idx="14">
                  <c:v>1.02</c:v>
                </c:pt>
                <c:pt idx="15">
                  <c:v>1.01</c:v>
                </c:pt>
                <c:pt idx="16">
                  <c:v>0.97</c:v>
                </c:pt>
                <c:pt idx="17">
                  <c:v>0.97</c:v>
                </c:pt>
                <c:pt idx="18">
                  <c:v>0.95</c:v>
                </c:pt>
                <c:pt idx="19">
                  <c:v>0.92</c:v>
                </c:pt>
                <c:pt idx="20">
                  <c:v>0.88</c:v>
                </c:pt>
                <c:pt idx="21">
                  <c:v>0.86</c:v>
                </c:pt>
                <c:pt idx="22">
                  <c:v>0.87</c:v>
                </c:pt>
                <c:pt idx="23">
                  <c:v>0.78</c:v>
                </c:pt>
                <c:pt idx="24">
                  <c:v>0.62</c:v>
                </c:pt>
                <c:pt idx="25">
                  <c:v>0.41</c:v>
                </c:pt>
              </c:numCache>
            </c:numRef>
          </c:val>
        </c:ser>
        <c:marker val="1"/>
        <c:axId val="170063360"/>
        <c:axId val="170064896"/>
      </c:lineChart>
      <c:catAx>
        <c:axId val="170063360"/>
        <c:scaling>
          <c:orientation val="minMax"/>
        </c:scaling>
        <c:axPos val="b"/>
        <c:numFmt formatCode="h:mm\ AM/PM" sourceLinked="1"/>
        <c:majorTickMark val="none"/>
        <c:tickLblPos val="nextTo"/>
        <c:txPr>
          <a:bodyPr/>
          <a:lstStyle/>
          <a:p>
            <a:pPr>
              <a:defRPr>
                <a:solidFill>
                  <a:schemeClr val="bg1"/>
                </a:solidFill>
                <a:latin typeface="Arial" pitchFamily="34" charset="0"/>
                <a:cs typeface="Arial" pitchFamily="34" charset="0"/>
              </a:defRPr>
            </a:pPr>
            <a:endParaRPr lang="en-US"/>
          </a:p>
        </c:txPr>
        <c:crossAx val="170064896"/>
        <c:crosses val="autoZero"/>
        <c:auto val="1"/>
        <c:lblAlgn val="ctr"/>
        <c:lblOffset val="100"/>
      </c:catAx>
      <c:valAx>
        <c:axId val="170064896"/>
        <c:scaling>
          <c:orientation val="minMax"/>
        </c:scaling>
        <c:axPos val="l"/>
        <c:majorGridlines/>
        <c:title>
          <c:tx>
            <c:rich>
              <a:bodyPr/>
              <a:lstStyle/>
              <a:p>
                <a:pPr>
                  <a:defRPr>
                    <a:solidFill>
                      <a:schemeClr val="bg1"/>
                    </a:solidFill>
                    <a:latin typeface="Arial" pitchFamily="34" charset="0"/>
                    <a:cs typeface="Arial" pitchFamily="34" charset="0"/>
                  </a:defRPr>
                </a:pPr>
                <a:r>
                  <a:rPr lang="en-US">
                    <a:solidFill>
                      <a:schemeClr val="bg1"/>
                    </a:solidFill>
                    <a:latin typeface="Arial" pitchFamily="34" charset="0"/>
                    <a:cs typeface="Arial" pitchFamily="34" charset="0"/>
                  </a:rPr>
                  <a:t>Solar Current (A)</a:t>
                </a:r>
              </a:p>
            </c:rich>
          </c:tx>
          <c:layout/>
        </c:title>
        <c:numFmt formatCode="General" sourceLinked="1"/>
        <c:majorTickMark val="none"/>
        <c:tickLblPos val="nextTo"/>
        <c:txPr>
          <a:bodyPr/>
          <a:lstStyle/>
          <a:p>
            <a:pPr>
              <a:defRPr>
                <a:solidFill>
                  <a:schemeClr val="bg1"/>
                </a:solidFill>
                <a:latin typeface="Arial" pitchFamily="34" charset="0"/>
                <a:cs typeface="Arial" pitchFamily="34" charset="0"/>
              </a:defRPr>
            </a:pPr>
            <a:endParaRPr lang="en-US"/>
          </a:p>
        </c:txPr>
        <c:crossAx val="170063360"/>
        <c:crosses val="autoZero"/>
        <c:crossBetween val="between"/>
      </c:valAx>
      <c:spPr>
        <a:solidFill>
          <a:schemeClr val="tx1"/>
        </a:solidFill>
      </c:spPr>
    </c:plotArea>
    <c:legend>
      <c:legendPos val="r"/>
      <c:layout/>
      <c:txPr>
        <a:bodyPr/>
        <a:lstStyle/>
        <a:p>
          <a:pPr>
            <a:defRPr>
              <a:solidFill>
                <a:schemeClr val="bg1"/>
              </a:solidFill>
              <a:latin typeface="Arial" pitchFamily="34" charset="0"/>
              <a:cs typeface="Arial" pitchFamily="34" charset="0"/>
            </a:defRPr>
          </a:pPr>
          <a:endParaRPr lang="en-US"/>
        </a:p>
      </c:txPr>
    </c:legend>
    <c:plotVisOnly val="1"/>
  </c:chart>
  <c:spPr>
    <a:solidFill>
      <a:schemeClr val="tx1"/>
    </a:solidFill>
  </c:spPr>
  <c:printSettings>
    <c:headerFooter/>
    <c:pageMargins b="0.75000000000000122" l="0.70000000000000062" r="0.70000000000000062" t="0.75000000000000122"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564386</xdr:colOff>
      <xdr:row>17</xdr:row>
      <xdr:rowOff>10795</xdr:rowOff>
    </xdr:from>
    <xdr:to>
      <xdr:col>13</xdr:col>
      <xdr:colOff>728023</xdr:colOff>
      <xdr:row>32</xdr:row>
      <xdr:rowOff>1270</xdr:rowOff>
    </xdr:to>
    <xdr:graphicFrame macro="">
      <xdr:nvGraphicFramePr>
        <xdr:cNvPr id="2" name="Scatter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368902</xdr:colOff>
      <xdr:row>1</xdr:row>
      <xdr:rowOff>30523</xdr:rowOff>
    </xdr:from>
    <xdr:to>
      <xdr:col>13</xdr:col>
      <xdr:colOff>532539</xdr:colOff>
      <xdr:row>16</xdr:row>
      <xdr:rowOff>12108</xdr:rowOff>
    </xdr:to>
    <xdr:graphicFrame macro="">
      <xdr:nvGraphicFramePr>
        <xdr:cNvPr id="3" name="Scatter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564387</xdr:colOff>
      <xdr:row>0</xdr:row>
      <xdr:rowOff>0</xdr:rowOff>
    </xdr:from>
    <xdr:to>
      <xdr:col>11</xdr:col>
      <xdr:colOff>723408</xdr:colOff>
      <xdr:row>14</xdr:row>
      <xdr:rowOff>139699</xdr:rowOff>
    </xdr:to>
    <xdr:graphicFrame macro="">
      <xdr:nvGraphicFramePr>
        <xdr:cNvPr id="5" name="Scatter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559771</xdr:colOff>
      <xdr:row>17</xdr:row>
      <xdr:rowOff>118407</xdr:rowOff>
    </xdr:from>
    <xdr:to>
      <xdr:col>11</xdr:col>
      <xdr:colOff>723408</xdr:colOff>
      <xdr:row>32</xdr:row>
      <xdr:rowOff>108882</xdr:rowOff>
    </xdr:to>
    <xdr:graphicFrame macro="">
      <xdr:nvGraphicFramePr>
        <xdr:cNvPr id="6" name="Scatter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34</xdr:row>
      <xdr:rowOff>133985</xdr:rowOff>
    </xdr:from>
    <xdr:to>
      <xdr:col>4</xdr:col>
      <xdr:colOff>101599</xdr:colOff>
      <xdr:row>49</xdr:row>
      <xdr:rowOff>153035</xdr:rowOff>
    </xdr:to>
    <xdr:graphicFrame macro="">
      <xdr:nvGraphicFramePr>
        <xdr:cNvPr id="8" name="Scatter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433386</xdr:colOff>
      <xdr:row>3</xdr:row>
      <xdr:rowOff>147638</xdr:rowOff>
    </xdr:from>
    <xdr:to>
      <xdr:col>19</xdr:col>
      <xdr:colOff>464819</xdr:colOff>
      <xdr:row>30</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3:D16"/>
  <sheetViews>
    <sheetView showGridLines="0" workbookViewId="0"/>
  </sheetViews>
  <sheetFormatPr defaultColWidth="10" defaultRowHeight="13.15" customHeight="1"/>
  <cols>
    <col min="1" max="1" width="2" customWidth="1"/>
    <col min="2" max="4" width="33.54296875" customWidth="1"/>
  </cols>
  <sheetData>
    <row r="3" spans="2:4" ht="49.9" customHeight="1">
      <c r="B3" s="46" t="s">
        <v>0</v>
      </c>
      <c r="C3" s="47"/>
      <c r="D3" s="47"/>
    </row>
    <row r="7" spans="2:4" ht="17.5">
      <c r="B7" s="1" t="s">
        <v>1</v>
      </c>
      <c r="C7" s="1" t="s">
        <v>2</v>
      </c>
      <c r="D7" s="1" t="s">
        <v>3</v>
      </c>
    </row>
    <row r="9" spans="2:4" ht="15.5">
      <c r="B9" s="2" t="s">
        <v>4</v>
      </c>
      <c r="C9" s="2"/>
      <c r="D9" s="2"/>
    </row>
    <row r="10" spans="2:4" ht="31">
      <c r="B10" s="3"/>
      <c r="C10" s="3" t="s">
        <v>5</v>
      </c>
      <c r="D10" s="4" t="s">
        <v>6</v>
      </c>
    </row>
    <row r="11" spans="2:4" ht="15.5">
      <c r="B11" s="2" t="s">
        <v>12</v>
      </c>
      <c r="C11" s="2"/>
      <c r="D11" s="2"/>
    </row>
    <row r="12" spans="2:4" ht="31">
      <c r="B12" s="3"/>
      <c r="C12" s="3" t="s">
        <v>5</v>
      </c>
      <c r="D12" s="4" t="s">
        <v>13</v>
      </c>
    </row>
    <row r="13" spans="2:4" ht="15.5">
      <c r="B13" s="2" t="s">
        <v>15</v>
      </c>
      <c r="C13" s="2"/>
      <c r="D13" s="2"/>
    </row>
    <row r="14" spans="2:4" ht="31">
      <c r="B14" s="3"/>
      <c r="C14" s="3" t="s">
        <v>16</v>
      </c>
      <c r="D14" s="4" t="s">
        <v>17</v>
      </c>
    </row>
    <row r="15" spans="2:4" ht="15.5">
      <c r="B15" s="2" t="s">
        <v>25</v>
      </c>
      <c r="C15" s="2"/>
      <c r="D15" s="2"/>
    </row>
    <row r="16" spans="2:4" ht="31">
      <c r="B16" s="3"/>
      <c r="C16" s="3" t="s">
        <v>26</v>
      </c>
      <c r="D16" s="4" t="s">
        <v>27</v>
      </c>
    </row>
  </sheetData>
  <mergeCells count="1">
    <mergeCell ref="B3:D3"/>
  </mergeCells>
  <hyperlinks>
    <hyperlink ref="D10" location="'Sheet 1 - 12V 10Ah LFP Discharg'!R2C1" display="Sheet 1 - 12V 10Ah LFP Discharg"/>
    <hyperlink ref="D12" location="'Sheet 1-1 - 12V 10Ah LFP Discha'!R2C1" display="Sheet 1-1 - 12V 10Ah LFP Discha"/>
    <hyperlink ref="D14" location="'Solar Panel Comparisons - Solar'!R2C1" display="Solar Panel Comparisons - Solar"/>
    <hyperlink ref="D16" location="'Riemann Sum - Midpoint Riemann '!R2C1" display="Riemann Sum - Midpoint Riemann "/>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63"/>
  <sheetViews>
    <sheetView showGridLines="0" workbookViewId="0">
      <pane xSplit="1" ySplit="2" topLeftCell="B3" activePane="bottomRight" state="frozen"/>
      <selection pane="topRight"/>
      <selection pane="bottomLeft"/>
      <selection pane="bottomRight" activeCell="B3" sqref="B3"/>
    </sheetView>
  </sheetViews>
  <sheetFormatPr defaultColWidth="16.26953125" defaultRowHeight="19.899999999999999" customHeight="1"/>
  <cols>
    <col min="1" max="10" width="16.26953125" style="5" customWidth="1"/>
    <col min="11" max="16384" width="16.26953125" style="5"/>
  </cols>
  <sheetData>
    <row r="1" spans="1:9" ht="27.75" customHeight="1">
      <c r="A1" s="48" t="s">
        <v>5</v>
      </c>
      <c r="B1" s="48"/>
      <c r="C1" s="48"/>
      <c r="D1" s="48"/>
      <c r="E1" s="48"/>
      <c r="F1" s="48"/>
      <c r="G1" s="48"/>
      <c r="H1" s="48"/>
      <c r="I1" s="48"/>
    </row>
    <row r="2" spans="1:9" ht="20.65" customHeight="1">
      <c r="A2" s="6"/>
      <c r="B2" s="6"/>
      <c r="C2" s="7" t="s">
        <v>7</v>
      </c>
      <c r="D2" s="7" t="s">
        <v>8</v>
      </c>
      <c r="E2" s="8" t="s">
        <v>9</v>
      </c>
      <c r="F2" s="8" t="s">
        <v>8</v>
      </c>
      <c r="G2" s="8" t="s">
        <v>10</v>
      </c>
      <c r="H2" s="8" t="s">
        <v>8</v>
      </c>
      <c r="I2" s="6"/>
    </row>
    <row r="3" spans="1:9" ht="20.25" customHeight="1">
      <c r="A3" s="9"/>
      <c r="B3" s="10"/>
      <c r="C3" s="11">
        <v>2E-3</v>
      </c>
      <c r="D3" s="11">
        <v>13.01</v>
      </c>
      <c r="E3" s="11">
        <v>7.3999999999999996E-2</v>
      </c>
      <c r="F3" s="11">
        <v>12.94</v>
      </c>
      <c r="G3" s="11">
        <v>3.5000000000000003E-2</v>
      </c>
      <c r="H3" s="11">
        <v>12.94</v>
      </c>
      <c r="I3" s="12"/>
    </row>
    <row r="4" spans="1:9" ht="20.149999999999999" customHeight="1">
      <c r="A4" s="13"/>
      <c r="B4" s="14"/>
      <c r="C4" s="15">
        <v>3.0000000000000001E-3</v>
      </c>
      <c r="D4" s="15">
        <v>13</v>
      </c>
      <c r="E4" s="15">
        <v>0.84799999999999998</v>
      </c>
      <c r="F4" s="15">
        <v>12.93</v>
      </c>
      <c r="G4" s="15">
        <v>0.06</v>
      </c>
      <c r="H4" s="15">
        <v>12.93</v>
      </c>
      <c r="I4" s="16"/>
    </row>
    <row r="5" spans="1:9" ht="20.149999999999999" customHeight="1">
      <c r="A5" s="13"/>
      <c r="B5" s="14"/>
      <c r="C5" s="15">
        <v>5.0000000000000001E-3</v>
      </c>
      <c r="D5" s="15">
        <v>12.99</v>
      </c>
      <c r="E5" s="15">
        <v>1.764</v>
      </c>
      <c r="F5" s="15">
        <v>12.92</v>
      </c>
      <c r="G5" s="15">
        <v>7.4999999999999997E-2</v>
      </c>
      <c r="H5" s="15">
        <v>12.92</v>
      </c>
      <c r="I5" s="16"/>
    </row>
    <row r="6" spans="1:9" ht="20.149999999999999" customHeight="1">
      <c r="A6" s="13"/>
      <c r="B6" s="14"/>
      <c r="C6" s="15">
        <v>8.0000000000000002E-3</v>
      </c>
      <c r="D6" s="15">
        <v>12.98</v>
      </c>
      <c r="E6" s="15">
        <v>2.3780000000000001</v>
      </c>
      <c r="F6" s="15">
        <v>12.91</v>
      </c>
      <c r="G6" s="15">
        <v>0.104</v>
      </c>
      <c r="H6" s="15">
        <v>12.91</v>
      </c>
      <c r="I6" s="16"/>
    </row>
    <row r="7" spans="1:9" ht="20.149999999999999" customHeight="1">
      <c r="A7" s="13"/>
      <c r="B7" s="14"/>
      <c r="C7" s="15">
        <v>1.0999999999999999E-2</v>
      </c>
      <c r="D7" s="15">
        <v>12.97</v>
      </c>
      <c r="E7" s="15">
        <v>2.7759999999999998</v>
      </c>
      <c r="F7" s="15">
        <v>12.9</v>
      </c>
      <c r="G7" s="15">
        <v>0.127</v>
      </c>
      <c r="H7" s="15">
        <v>12.9</v>
      </c>
      <c r="I7" s="16"/>
    </row>
    <row r="8" spans="1:9" ht="20.149999999999999" customHeight="1">
      <c r="A8" s="13"/>
      <c r="B8" s="14"/>
      <c r="C8" s="15">
        <v>1.7000000000000001E-2</v>
      </c>
      <c r="D8" s="15">
        <v>12.96</v>
      </c>
      <c r="E8" s="15">
        <v>3.0670000000000002</v>
      </c>
      <c r="F8" s="15">
        <v>12.89</v>
      </c>
      <c r="G8" s="15">
        <v>0.16400000000000001</v>
      </c>
      <c r="H8" s="15">
        <v>12.89</v>
      </c>
      <c r="I8" s="16"/>
    </row>
    <row r="9" spans="1:9" ht="20.149999999999999" customHeight="1">
      <c r="A9" s="13"/>
      <c r="B9" s="14"/>
      <c r="C9" s="15">
        <v>2.1000000000000001E-2</v>
      </c>
      <c r="D9" s="15">
        <v>12.95</v>
      </c>
      <c r="E9" s="15">
        <v>3.29</v>
      </c>
      <c r="F9" s="15">
        <v>12.88</v>
      </c>
      <c r="G9" s="15">
        <v>0.185</v>
      </c>
      <c r="H9" s="15">
        <v>12.88</v>
      </c>
      <c r="I9" s="16"/>
    </row>
    <row r="10" spans="1:9" ht="20.149999999999999" customHeight="1">
      <c r="A10" s="13"/>
      <c r="B10" s="14"/>
      <c r="C10" s="15">
        <v>2.9000000000000001E-2</v>
      </c>
      <c r="D10" s="15">
        <v>12.94</v>
      </c>
      <c r="E10" s="15">
        <v>3.4529999999999998</v>
      </c>
      <c r="F10" s="15">
        <v>12.87</v>
      </c>
      <c r="G10" s="15">
        <v>0.22</v>
      </c>
      <c r="H10" s="15">
        <v>12.87</v>
      </c>
      <c r="I10" s="16"/>
    </row>
    <row r="11" spans="1:9" ht="20.149999999999999" customHeight="1">
      <c r="A11" s="13"/>
      <c r="B11" s="14"/>
      <c r="C11" s="15">
        <v>5.2999999999999999E-2</v>
      </c>
      <c r="D11" s="15">
        <v>12.93</v>
      </c>
      <c r="E11" s="15">
        <v>3.5720000000000001</v>
      </c>
      <c r="F11" s="15">
        <v>12.86</v>
      </c>
      <c r="G11" s="15">
        <v>0.26400000000000001</v>
      </c>
      <c r="H11" s="15">
        <v>12.86</v>
      </c>
      <c r="I11" s="16"/>
    </row>
    <row r="12" spans="1:9" ht="20.149999999999999" customHeight="1">
      <c r="A12" s="13"/>
      <c r="B12" s="14"/>
      <c r="C12" s="15">
        <v>0.38400000000000001</v>
      </c>
      <c r="D12" s="15">
        <v>12.92</v>
      </c>
      <c r="E12" s="15">
        <v>3.718</v>
      </c>
      <c r="F12" s="15">
        <v>12.85</v>
      </c>
      <c r="G12" s="15">
        <v>0.311</v>
      </c>
      <c r="H12" s="15">
        <v>12.85</v>
      </c>
      <c r="I12" s="16"/>
    </row>
    <row r="13" spans="1:9" ht="20.149999999999999" customHeight="1">
      <c r="A13" s="13"/>
      <c r="B13" s="14"/>
      <c r="C13" s="15">
        <v>0.48399999999999999</v>
      </c>
      <c r="D13" s="15">
        <v>12.91</v>
      </c>
      <c r="E13" s="15">
        <v>3.7949999999999999</v>
      </c>
      <c r="F13" s="15">
        <v>12.84</v>
      </c>
      <c r="G13" s="15">
        <v>0.38200000000000001</v>
      </c>
      <c r="H13" s="15">
        <v>12.84</v>
      </c>
      <c r="I13" s="16"/>
    </row>
    <row r="14" spans="1:9" ht="20.149999999999999" customHeight="1">
      <c r="A14" s="13"/>
      <c r="B14" s="14"/>
      <c r="C14" s="15">
        <v>0.53700000000000003</v>
      </c>
      <c r="D14" s="15">
        <v>12.9</v>
      </c>
      <c r="E14" s="15">
        <v>3.9409999999999998</v>
      </c>
      <c r="F14" s="15">
        <v>12.83</v>
      </c>
      <c r="G14" s="15">
        <v>0.504</v>
      </c>
      <c r="H14" s="15">
        <v>12.83</v>
      </c>
      <c r="I14" s="16"/>
    </row>
    <row r="15" spans="1:9" ht="20.149999999999999" customHeight="1">
      <c r="A15" s="13"/>
      <c r="B15" s="14"/>
      <c r="C15" s="15">
        <v>0.59399999999999997</v>
      </c>
      <c r="D15" s="15">
        <v>12.89</v>
      </c>
      <c r="E15" s="15">
        <v>4.0030000000000001</v>
      </c>
      <c r="F15" s="15">
        <v>12.82</v>
      </c>
      <c r="G15" s="15">
        <v>0.64500000000000002</v>
      </c>
      <c r="H15" s="15">
        <v>12.82</v>
      </c>
      <c r="I15" s="16"/>
    </row>
    <row r="16" spans="1:9" ht="20.149999999999999" customHeight="1">
      <c r="A16" s="13"/>
      <c r="B16" s="14"/>
      <c r="C16" s="15">
        <v>0.63300000000000001</v>
      </c>
      <c r="D16" s="15">
        <v>12.88</v>
      </c>
      <c r="E16" s="15">
        <v>4.1340000000000003</v>
      </c>
      <c r="F16" s="15">
        <v>12.81</v>
      </c>
      <c r="G16" s="15">
        <v>1.1279999999999999</v>
      </c>
      <c r="H16" s="15">
        <v>12.81</v>
      </c>
      <c r="I16" s="16"/>
    </row>
    <row r="17" spans="1:9" ht="20.149999999999999" customHeight="1">
      <c r="A17" s="13"/>
      <c r="B17" s="14"/>
      <c r="C17" s="15">
        <v>0.69199999999999995</v>
      </c>
      <c r="D17" s="15">
        <v>12.87</v>
      </c>
      <c r="E17" s="15">
        <v>4.2640000000000002</v>
      </c>
      <c r="F17" s="15">
        <v>12.8</v>
      </c>
      <c r="G17" s="15">
        <v>1.5629999999999999</v>
      </c>
      <c r="H17" s="15">
        <v>12.8</v>
      </c>
      <c r="I17" s="16"/>
    </row>
    <row r="18" spans="1:9" ht="20.149999999999999" customHeight="1">
      <c r="A18" s="13"/>
      <c r="B18" s="14"/>
      <c r="C18" s="15">
        <v>0.72399999999999998</v>
      </c>
      <c r="D18" s="15">
        <v>12.86</v>
      </c>
      <c r="E18" s="15">
        <v>4.4669999999999996</v>
      </c>
      <c r="F18" s="15">
        <v>12.79</v>
      </c>
      <c r="G18" s="15">
        <v>2.2349999999999999</v>
      </c>
      <c r="H18" s="15">
        <v>12.79</v>
      </c>
      <c r="I18" s="16"/>
    </row>
    <row r="19" spans="1:9" ht="20.149999999999999" customHeight="1">
      <c r="A19" s="13"/>
      <c r="B19" s="14"/>
      <c r="C19" s="15">
        <v>0.76300000000000001</v>
      </c>
      <c r="D19" s="17">
        <v>12.85</v>
      </c>
      <c r="E19" s="15">
        <v>4.782</v>
      </c>
      <c r="F19" s="15">
        <v>12.78</v>
      </c>
      <c r="G19" s="15">
        <v>3.105</v>
      </c>
      <c r="H19" s="15">
        <v>12.78</v>
      </c>
      <c r="I19" s="16"/>
    </row>
    <row r="20" spans="1:9" ht="20.149999999999999" customHeight="1">
      <c r="A20" s="13"/>
      <c r="B20" s="14"/>
      <c r="C20" s="15">
        <v>0.79400000000000004</v>
      </c>
      <c r="D20" s="15">
        <v>12.84</v>
      </c>
      <c r="E20" s="15">
        <v>5.085</v>
      </c>
      <c r="F20" s="15">
        <v>12.77</v>
      </c>
      <c r="G20" s="15">
        <v>3.4790000000000001</v>
      </c>
      <c r="H20" s="15">
        <v>12.77</v>
      </c>
      <c r="I20" s="16"/>
    </row>
    <row r="21" spans="1:9" ht="20.149999999999999" customHeight="1">
      <c r="A21" s="13"/>
      <c r="B21" s="14"/>
      <c r="C21" s="15">
        <v>0.84699999999999998</v>
      </c>
      <c r="D21" s="15">
        <v>12.83</v>
      </c>
      <c r="E21" s="15">
        <v>5.5259999999999998</v>
      </c>
      <c r="F21" s="15">
        <v>12.76</v>
      </c>
      <c r="G21" s="15">
        <v>3.7149999999999999</v>
      </c>
      <c r="H21" s="15">
        <v>12.76</v>
      </c>
      <c r="I21" s="16"/>
    </row>
    <row r="22" spans="1:9" ht="20.149999999999999" customHeight="1">
      <c r="A22" s="13"/>
      <c r="B22" s="14"/>
      <c r="C22" s="15">
        <v>0.91400000000000003</v>
      </c>
      <c r="D22" s="15">
        <v>12.82</v>
      </c>
      <c r="E22" s="15">
        <v>6.3179999999999996</v>
      </c>
      <c r="F22" s="15">
        <v>12.75</v>
      </c>
      <c r="G22" s="15">
        <v>3.827</v>
      </c>
      <c r="H22" s="15">
        <v>12.75</v>
      </c>
      <c r="I22" s="16"/>
    </row>
    <row r="23" spans="1:9" ht="20.149999999999999" customHeight="1">
      <c r="A23" s="13"/>
      <c r="B23" s="14"/>
      <c r="C23" s="15">
        <v>0.998</v>
      </c>
      <c r="D23" s="15">
        <v>12.81</v>
      </c>
      <c r="E23" s="15">
        <v>6.9189999999999996</v>
      </c>
      <c r="F23" s="15">
        <v>12.74</v>
      </c>
      <c r="G23" s="16"/>
      <c r="H23" s="16"/>
      <c r="I23" s="16"/>
    </row>
    <row r="24" spans="1:9" ht="20.149999999999999" customHeight="1">
      <c r="A24" s="13"/>
      <c r="B24" s="14"/>
      <c r="C24" s="15">
        <v>1.2170000000000001</v>
      </c>
      <c r="D24" s="15">
        <v>12.8</v>
      </c>
      <c r="E24" s="15">
        <v>7.266</v>
      </c>
      <c r="F24" s="15">
        <v>12.73</v>
      </c>
      <c r="G24" s="16"/>
      <c r="H24" s="16"/>
      <c r="I24" s="16"/>
    </row>
    <row r="25" spans="1:9" ht="20.149999999999999" customHeight="1">
      <c r="A25" s="13"/>
      <c r="B25" s="14"/>
      <c r="C25" s="15">
        <v>1.359</v>
      </c>
      <c r="D25" s="15">
        <v>12.79</v>
      </c>
      <c r="E25" s="15">
        <v>7.4740000000000002</v>
      </c>
      <c r="F25" s="15">
        <v>12.72</v>
      </c>
      <c r="G25" s="16"/>
      <c r="H25" s="16"/>
      <c r="I25" s="16"/>
    </row>
    <row r="26" spans="1:9" ht="20.149999999999999" customHeight="1">
      <c r="A26" s="13"/>
      <c r="B26" s="14"/>
      <c r="C26" s="15">
        <v>1.7769999999999999</v>
      </c>
      <c r="D26" s="15">
        <v>12.78</v>
      </c>
      <c r="E26" s="15">
        <v>7.742</v>
      </c>
      <c r="F26" s="15">
        <v>12.71</v>
      </c>
      <c r="G26" s="16"/>
      <c r="H26" s="16"/>
      <c r="I26" s="16"/>
    </row>
    <row r="27" spans="1:9" ht="20.149999999999999" customHeight="1">
      <c r="A27" s="13"/>
      <c r="B27" s="14"/>
      <c r="C27" s="15">
        <v>2.66</v>
      </c>
      <c r="D27" s="15">
        <v>12.77</v>
      </c>
      <c r="E27" s="15">
        <v>7.923</v>
      </c>
      <c r="F27" s="15">
        <v>12.7</v>
      </c>
      <c r="G27" s="16"/>
      <c r="H27" s="16"/>
      <c r="I27" s="16"/>
    </row>
    <row r="28" spans="1:9" ht="20.149999999999999" customHeight="1">
      <c r="A28" s="13"/>
      <c r="B28" s="14"/>
      <c r="C28" s="15">
        <v>3.4510000000000001</v>
      </c>
      <c r="D28" s="15">
        <v>12.76</v>
      </c>
      <c r="E28" s="15">
        <v>8.0259999999999998</v>
      </c>
      <c r="F28" s="15">
        <v>12.69</v>
      </c>
      <c r="G28" s="16"/>
      <c r="H28" s="16"/>
      <c r="I28" s="16"/>
    </row>
    <row r="29" spans="1:9" ht="20.149999999999999" customHeight="1">
      <c r="A29" s="13"/>
      <c r="B29" s="14"/>
      <c r="C29" s="15">
        <v>3.8220000000000001</v>
      </c>
      <c r="D29" s="15">
        <v>12.75</v>
      </c>
      <c r="E29" s="15">
        <v>8.1560000000000006</v>
      </c>
      <c r="F29" s="15">
        <v>12.68</v>
      </c>
      <c r="G29" s="16"/>
      <c r="H29" s="16"/>
      <c r="I29" s="16"/>
    </row>
    <row r="30" spans="1:9" ht="20.149999999999999" customHeight="1">
      <c r="A30" s="13"/>
      <c r="B30" s="14"/>
      <c r="C30" s="15">
        <v>4.1619999999999999</v>
      </c>
      <c r="D30" s="15">
        <v>12.74</v>
      </c>
      <c r="E30" s="15">
        <v>8.2550000000000008</v>
      </c>
      <c r="F30" s="15">
        <v>12.67</v>
      </c>
      <c r="G30" s="16"/>
      <c r="H30" s="16"/>
      <c r="I30" s="16"/>
    </row>
    <row r="31" spans="1:9" ht="20.149999999999999" customHeight="1">
      <c r="A31" s="13"/>
      <c r="B31" s="14"/>
      <c r="C31" s="15">
        <v>4.3280000000000003</v>
      </c>
      <c r="D31" s="15">
        <v>12.73</v>
      </c>
      <c r="E31" s="15">
        <v>8.3439999999999994</v>
      </c>
      <c r="F31" s="15">
        <v>12.66</v>
      </c>
      <c r="G31" s="16"/>
      <c r="H31" s="16"/>
      <c r="I31" s="16"/>
    </row>
    <row r="32" spans="1:9" ht="20.149999999999999" customHeight="1">
      <c r="A32" s="13"/>
      <c r="B32" s="14"/>
      <c r="C32" s="15">
        <v>4.5149999999999997</v>
      </c>
      <c r="D32" s="15">
        <v>12.72</v>
      </c>
      <c r="E32" s="15">
        <v>8.452</v>
      </c>
      <c r="F32" s="15">
        <v>12.65</v>
      </c>
      <c r="G32" s="16"/>
      <c r="H32" s="16"/>
      <c r="I32" s="16"/>
    </row>
    <row r="33" spans="1:9" ht="20.149999999999999" customHeight="1">
      <c r="A33" s="13"/>
      <c r="B33" s="14"/>
      <c r="C33" s="15">
        <v>4.6269999999999998</v>
      </c>
      <c r="D33" s="15">
        <v>12.71</v>
      </c>
      <c r="E33" s="15">
        <v>8.5510000000000002</v>
      </c>
      <c r="F33" s="15">
        <v>12.64</v>
      </c>
      <c r="G33" s="16"/>
      <c r="H33" s="16"/>
      <c r="I33" s="16"/>
    </row>
    <row r="34" spans="1:9" ht="20.149999999999999" customHeight="1">
      <c r="A34" s="13"/>
      <c r="B34" s="14"/>
      <c r="C34" s="15">
        <v>4.7249999999999996</v>
      </c>
      <c r="D34" s="15">
        <v>12.7</v>
      </c>
      <c r="E34" s="15">
        <v>8.6419999999999995</v>
      </c>
      <c r="F34" s="15">
        <v>12.63</v>
      </c>
      <c r="G34" s="16"/>
      <c r="H34" s="16"/>
      <c r="I34" s="16"/>
    </row>
    <row r="35" spans="1:9" ht="20.149999999999999" customHeight="1">
      <c r="A35" s="13"/>
      <c r="B35" s="14"/>
      <c r="C35" s="15">
        <v>4.8040000000000003</v>
      </c>
      <c r="D35" s="15">
        <v>12.69</v>
      </c>
      <c r="E35" s="15">
        <v>8.718</v>
      </c>
      <c r="F35" s="15">
        <v>12.62</v>
      </c>
      <c r="G35" s="16"/>
      <c r="H35" s="16"/>
      <c r="I35" s="16"/>
    </row>
    <row r="36" spans="1:9" ht="20.149999999999999" customHeight="1">
      <c r="A36" s="13"/>
      <c r="B36" s="14"/>
      <c r="C36" s="15">
        <v>4.9139999999999997</v>
      </c>
      <c r="D36" s="15">
        <v>12.68</v>
      </c>
      <c r="E36" s="15">
        <v>8.8040000000000003</v>
      </c>
      <c r="F36" s="15">
        <v>12.61</v>
      </c>
      <c r="G36" s="16"/>
      <c r="H36" s="16"/>
      <c r="I36" s="16"/>
    </row>
    <row r="37" spans="1:9" ht="20.149999999999999" customHeight="1">
      <c r="A37" s="13"/>
      <c r="B37" s="14"/>
      <c r="C37" s="15">
        <v>5.0069999999999997</v>
      </c>
      <c r="D37" s="15">
        <v>12.67</v>
      </c>
      <c r="E37" s="15">
        <v>8.9280000000000008</v>
      </c>
      <c r="F37" s="15">
        <v>12.6</v>
      </c>
      <c r="G37" s="16"/>
      <c r="H37" s="16"/>
      <c r="I37" s="16"/>
    </row>
    <row r="38" spans="1:9" ht="20.149999999999999" customHeight="1">
      <c r="A38" s="13"/>
      <c r="B38" s="14"/>
      <c r="C38" s="15">
        <v>5.1390000000000002</v>
      </c>
      <c r="D38" s="15">
        <v>12.66</v>
      </c>
      <c r="E38" s="15">
        <v>8.984</v>
      </c>
      <c r="F38" s="15">
        <v>12.59</v>
      </c>
      <c r="G38" s="16"/>
      <c r="H38" s="16"/>
      <c r="I38" s="16"/>
    </row>
    <row r="39" spans="1:9" ht="20.149999999999999" customHeight="1">
      <c r="A39" s="13"/>
      <c r="B39" s="14"/>
      <c r="C39" s="15">
        <v>5.21</v>
      </c>
      <c r="D39" s="15">
        <v>12.65</v>
      </c>
      <c r="E39" s="15">
        <v>9.1329999999999991</v>
      </c>
      <c r="F39" s="15">
        <v>12.58</v>
      </c>
      <c r="G39" s="16"/>
      <c r="H39" s="16"/>
      <c r="I39" s="16"/>
    </row>
    <row r="40" spans="1:9" ht="20.149999999999999" customHeight="1">
      <c r="A40" s="13"/>
      <c r="B40" s="14"/>
      <c r="C40" s="15">
        <v>5.28</v>
      </c>
      <c r="D40" s="15">
        <v>12.64</v>
      </c>
      <c r="E40" s="15">
        <v>9.2330000000000005</v>
      </c>
      <c r="F40" s="15">
        <v>12.57</v>
      </c>
      <c r="G40" s="16"/>
      <c r="H40" s="16"/>
      <c r="I40" s="16"/>
    </row>
    <row r="41" spans="1:9" ht="20.149999999999999" customHeight="1">
      <c r="A41" s="13"/>
      <c r="B41" s="14"/>
      <c r="C41" s="15">
        <v>5.3849999999999998</v>
      </c>
      <c r="D41" s="15">
        <v>12.63</v>
      </c>
      <c r="E41" s="15">
        <v>9.3160000000000007</v>
      </c>
      <c r="F41" s="15">
        <v>12.56</v>
      </c>
      <c r="G41" s="16"/>
      <c r="H41" s="16"/>
      <c r="I41" s="16"/>
    </row>
    <row r="42" spans="1:9" ht="20.149999999999999" customHeight="1">
      <c r="A42" s="13"/>
      <c r="B42" s="14"/>
      <c r="C42" s="15">
        <v>5.4669999999999996</v>
      </c>
      <c r="D42" s="15">
        <v>12.62</v>
      </c>
      <c r="E42" s="15">
        <v>9.3870000000000005</v>
      </c>
      <c r="F42" s="15">
        <v>12.55</v>
      </c>
      <c r="G42" s="16"/>
      <c r="H42" s="16"/>
      <c r="I42" s="16"/>
    </row>
    <row r="43" spans="1:9" ht="20.149999999999999" customHeight="1">
      <c r="A43" s="13"/>
      <c r="B43" s="14"/>
      <c r="C43" s="15">
        <v>5.593</v>
      </c>
      <c r="D43" s="15">
        <v>12.61</v>
      </c>
      <c r="E43" s="15">
        <v>9.44</v>
      </c>
      <c r="F43" s="15">
        <v>12.54</v>
      </c>
      <c r="G43" s="16"/>
      <c r="H43" s="16"/>
      <c r="I43" s="16"/>
    </row>
    <row r="44" spans="1:9" ht="20.149999999999999" customHeight="1">
      <c r="A44" s="13"/>
      <c r="B44" s="14"/>
      <c r="C44" s="15">
        <v>5.718</v>
      </c>
      <c r="D44" s="15">
        <v>12.6</v>
      </c>
      <c r="E44" s="15">
        <v>9.5109999999999992</v>
      </c>
      <c r="F44" s="15">
        <v>12.53</v>
      </c>
      <c r="G44" s="16"/>
      <c r="H44" s="16"/>
      <c r="I44" s="16"/>
    </row>
    <row r="45" spans="1:9" ht="20.149999999999999" customHeight="1">
      <c r="A45" s="13"/>
      <c r="B45" s="14"/>
      <c r="C45" s="15">
        <v>5.7670000000000003</v>
      </c>
      <c r="D45" s="15">
        <v>12.59</v>
      </c>
      <c r="E45" s="15">
        <v>9.5820000000000007</v>
      </c>
      <c r="F45" s="15">
        <v>12.52</v>
      </c>
      <c r="G45" s="16"/>
      <c r="H45" s="16"/>
      <c r="I45" s="16"/>
    </row>
    <row r="46" spans="1:9" ht="20.149999999999999" customHeight="1">
      <c r="A46" s="13"/>
      <c r="B46" s="14"/>
      <c r="C46" s="15">
        <v>5.8689999999999998</v>
      </c>
      <c r="D46" s="15">
        <v>12.58</v>
      </c>
      <c r="E46" s="15">
        <v>9.6519999999999992</v>
      </c>
      <c r="F46" s="15">
        <v>12.51</v>
      </c>
      <c r="G46" s="16"/>
      <c r="H46" s="16"/>
      <c r="I46" s="16"/>
    </row>
    <row r="47" spans="1:9" ht="20.149999999999999" customHeight="1">
      <c r="A47" s="13"/>
      <c r="B47" s="14"/>
      <c r="C47" s="15">
        <v>5.9660000000000002</v>
      </c>
      <c r="D47" s="15">
        <v>12.57</v>
      </c>
      <c r="E47" s="15">
        <v>9.7200000000000006</v>
      </c>
      <c r="F47" s="15">
        <v>12.5</v>
      </c>
      <c r="G47" s="16"/>
      <c r="H47" s="16"/>
      <c r="I47" s="16"/>
    </row>
    <row r="48" spans="1:9" ht="20.149999999999999" customHeight="1">
      <c r="A48" s="13"/>
      <c r="B48" s="14"/>
      <c r="C48" s="15">
        <v>6.0460000000000003</v>
      </c>
      <c r="D48" s="15">
        <v>12.56</v>
      </c>
      <c r="E48" s="15">
        <v>9.7840000000000007</v>
      </c>
      <c r="F48" s="15">
        <v>12.49</v>
      </c>
      <c r="G48" s="16"/>
      <c r="H48" s="16"/>
      <c r="I48" s="16"/>
    </row>
    <row r="49" spans="1:9" ht="20.149999999999999" customHeight="1">
      <c r="A49" s="13"/>
      <c r="B49" s="14"/>
      <c r="C49" s="15">
        <v>6.1070000000000002</v>
      </c>
      <c r="D49" s="15">
        <v>12.55</v>
      </c>
      <c r="E49" s="15">
        <v>9.8230000000000004</v>
      </c>
      <c r="F49" s="15">
        <v>12.48</v>
      </c>
      <c r="G49" s="16"/>
      <c r="H49" s="16"/>
      <c r="I49" s="16"/>
    </row>
    <row r="50" spans="1:9" ht="20.149999999999999" customHeight="1">
      <c r="A50" s="13"/>
      <c r="B50" s="14"/>
      <c r="C50" s="15">
        <v>6.1710000000000003</v>
      </c>
      <c r="D50" s="15">
        <v>12.54</v>
      </c>
      <c r="E50" s="15">
        <v>9.8810000000000002</v>
      </c>
      <c r="F50" s="15">
        <v>12.47</v>
      </c>
      <c r="G50" s="16"/>
      <c r="H50" s="16"/>
      <c r="I50" s="16"/>
    </row>
    <row r="51" spans="1:9" ht="20.149999999999999" customHeight="1">
      <c r="A51" s="13"/>
      <c r="B51" s="14"/>
      <c r="C51" s="15">
        <v>6.2309999999999999</v>
      </c>
      <c r="D51" s="15">
        <v>12.53</v>
      </c>
      <c r="E51" s="15">
        <v>9.9649999999999999</v>
      </c>
      <c r="F51" s="15">
        <v>12.46</v>
      </c>
      <c r="G51" s="16"/>
      <c r="H51" s="16"/>
      <c r="I51" s="16"/>
    </row>
    <row r="52" spans="1:9" ht="20.149999999999999" customHeight="1">
      <c r="A52" s="13"/>
      <c r="B52" s="14"/>
      <c r="C52" s="15">
        <v>6.2919999999999998</v>
      </c>
      <c r="D52" s="15">
        <v>12.52</v>
      </c>
      <c r="E52" s="15">
        <v>10.01</v>
      </c>
      <c r="F52" s="15">
        <v>12.45</v>
      </c>
      <c r="G52" s="16"/>
      <c r="H52" s="16"/>
      <c r="I52" s="16"/>
    </row>
    <row r="53" spans="1:9" ht="20.149999999999999" customHeight="1">
      <c r="A53" s="13"/>
      <c r="B53" s="14"/>
      <c r="C53" s="15">
        <v>6.343</v>
      </c>
      <c r="D53" s="15">
        <v>12.51</v>
      </c>
      <c r="E53" s="15">
        <v>10.039999999999999</v>
      </c>
      <c r="F53" s="15">
        <v>12.44</v>
      </c>
      <c r="G53" s="16"/>
      <c r="H53" s="16"/>
      <c r="I53" s="16"/>
    </row>
    <row r="54" spans="1:9" ht="20.149999999999999" customHeight="1">
      <c r="A54" s="13"/>
      <c r="B54" s="14"/>
      <c r="C54" s="15">
        <v>6.4020000000000001</v>
      </c>
      <c r="D54" s="15">
        <v>12.5</v>
      </c>
      <c r="E54" s="15">
        <v>10.08</v>
      </c>
      <c r="F54" s="15">
        <v>12.43</v>
      </c>
      <c r="G54" s="16"/>
      <c r="H54" s="16"/>
      <c r="I54" s="16"/>
    </row>
    <row r="55" spans="1:9" ht="20.149999999999999" customHeight="1">
      <c r="A55" s="13"/>
      <c r="B55" s="14"/>
      <c r="C55" s="15">
        <v>6.46</v>
      </c>
      <c r="D55" s="15">
        <v>12.49</v>
      </c>
      <c r="E55" s="15">
        <v>10.16</v>
      </c>
      <c r="F55" s="15">
        <v>12.42</v>
      </c>
      <c r="G55" s="16"/>
      <c r="H55" s="16"/>
      <c r="I55" s="16"/>
    </row>
    <row r="56" spans="1:9" ht="20.149999999999999" customHeight="1">
      <c r="A56" s="13"/>
      <c r="B56" s="14"/>
      <c r="C56" s="15">
        <v>6.5449999999999999</v>
      </c>
      <c r="D56" s="15">
        <v>12.48</v>
      </c>
      <c r="E56" s="15">
        <v>10.19</v>
      </c>
      <c r="F56" s="15">
        <v>12.41</v>
      </c>
      <c r="G56" s="16"/>
      <c r="H56" s="16"/>
      <c r="I56" s="16"/>
    </row>
    <row r="57" spans="1:9" ht="20.149999999999999" customHeight="1">
      <c r="A57" s="13"/>
      <c r="B57" s="14"/>
      <c r="C57" s="15">
        <v>6.6150000000000002</v>
      </c>
      <c r="D57" s="15">
        <v>12.47</v>
      </c>
      <c r="E57" s="15">
        <v>10.220000000000001</v>
      </c>
      <c r="F57" s="15">
        <v>12.4</v>
      </c>
      <c r="G57" s="16"/>
      <c r="H57" s="16"/>
      <c r="I57" s="16"/>
    </row>
    <row r="58" spans="1:9" ht="20.149999999999999" customHeight="1">
      <c r="A58" s="13"/>
      <c r="B58" s="14"/>
      <c r="C58" s="15">
        <v>6.6680000000000001</v>
      </c>
      <c r="D58" s="15">
        <v>12.46</v>
      </c>
      <c r="E58" s="15">
        <v>10.29</v>
      </c>
      <c r="F58" s="15">
        <v>12.39</v>
      </c>
      <c r="G58" s="16"/>
      <c r="H58" s="16"/>
      <c r="I58" s="16"/>
    </row>
    <row r="59" spans="1:9" ht="20.149999999999999" customHeight="1">
      <c r="A59" s="13"/>
      <c r="B59" s="14"/>
      <c r="C59" s="15">
        <v>6.7</v>
      </c>
      <c r="D59" s="15">
        <v>12.45</v>
      </c>
      <c r="E59" s="15">
        <v>10.34</v>
      </c>
      <c r="F59" s="15">
        <v>12.38</v>
      </c>
      <c r="G59" s="16"/>
      <c r="H59" s="16"/>
      <c r="I59" s="16"/>
    </row>
    <row r="60" spans="1:9" ht="20.149999999999999" customHeight="1">
      <c r="A60" s="13"/>
      <c r="B60" s="14"/>
      <c r="C60" s="15">
        <v>6.7569999999999997</v>
      </c>
      <c r="D60" s="15">
        <v>12.44</v>
      </c>
      <c r="E60" s="15">
        <v>10.48</v>
      </c>
      <c r="F60" s="15">
        <v>12.37</v>
      </c>
      <c r="G60" s="16"/>
      <c r="H60" s="16"/>
      <c r="I60" s="16"/>
    </row>
    <row r="61" spans="1:9" ht="20.149999999999999" customHeight="1">
      <c r="A61" s="13"/>
      <c r="B61" s="14"/>
      <c r="C61" s="15">
        <v>6.798</v>
      </c>
      <c r="D61" s="15">
        <v>12.43</v>
      </c>
      <c r="E61" s="15">
        <v>10.64</v>
      </c>
      <c r="F61" s="15">
        <v>12.36</v>
      </c>
      <c r="G61" s="16"/>
      <c r="H61" s="16"/>
      <c r="I61" s="16"/>
    </row>
    <row r="62" spans="1:9" ht="20.149999999999999" customHeight="1">
      <c r="A62" s="13"/>
      <c r="B62" s="14"/>
      <c r="C62" s="15">
        <v>6.8369999999999997</v>
      </c>
      <c r="D62" s="15">
        <v>12.42</v>
      </c>
      <c r="E62" s="15">
        <v>10.72</v>
      </c>
      <c r="F62" s="15">
        <v>12.35</v>
      </c>
      <c r="G62" s="16"/>
      <c r="H62" s="16"/>
      <c r="I62" s="16"/>
    </row>
    <row r="63" spans="1:9" ht="20.149999999999999" customHeight="1">
      <c r="A63" s="13"/>
      <c r="B63" s="14"/>
      <c r="C63" s="15">
        <v>6.8789999999999996</v>
      </c>
      <c r="D63" s="15">
        <v>12.41</v>
      </c>
      <c r="E63" s="15">
        <v>10.8</v>
      </c>
      <c r="F63" s="15">
        <v>12.34</v>
      </c>
      <c r="G63" s="16"/>
      <c r="H63" s="16"/>
      <c r="I63" s="16"/>
    </row>
    <row r="64" spans="1:9" ht="20.149999999999999" customHeight="1">
      <c r="A64" s="13"/>
      <c r="B64" s="14"/>
      <c r="C64" s="15">
        <v>6.9169999999999998</v>
      </c>
      <c r="D64" s="15">
        <v>12.4</v>
      </c>
      <c r="E64" s="15">
        <v>10.88</v>
      </c>
      <c r="F64" s="15">
        <v>12.33</v>
      </c>
      <c r="G64" s="16"/>
      <c r="H64" s="16"/>
      <c r="I64" s="16"/>
    </row>
    <row r="65" spans="1:9" ht="20.149999999999999" customHeight="1">
      <c r="A65" s="13"/>
      <c r="B65" s="14"/>
      <c r="C65" s="15">
        <v>6.984</v>
      </c>
      <c r="D65" s="15">
        <v>12.39</v>
      </c>
      <c r="E65" s="15">
        <v>10.93</v>
      </c>
      <c r="F65" s="15">
        <v>12.32</v>
      </c>
      <c r="G65" s="16"/>
      <c r="H65" s="16"/>
      <c r="I65" s="16"/>
    </row>
    <row r="66" spans="1:9" ht="20.149999999999999" customHeight="1">
      <c r="A66" s="13"/>
      <c r="B66" s="14"/>
      <c r="C66" s="15">
        <v>7.09</v>
      </c>
      <c r="D66" s="15">
        <v>12.38</v>
      </c>
      <c r="E66" s="15">
        <v>10.97</v>
      </c>
      <c r="F66" s="15">
        <v>12.31</v>
      </c>
      <c r="G66" s="16"/>
      <c r="H66" s="16"/>
      <c r="I66" s="16"/>
    </row>
    <row r="67" spans="1:9" ht="20.149999999999999" customHeight="1">
      <c r="A67" s="13"/>
      <c r="B67" s="14"/>
      <c r="C67" s="15">
        <v>7.2569999999999997</v>
      </c>
      <c r="D67" s="15">
        <v>12.37</v>
      </c>
      <c r="E67" s="15">
        <v>10.99</v>
      </c>
      <c r="F67" s="15">
        <v>12.3</v>
      </c>
      <c r="G67" s="16"/>
      <c r="H67" s="16"/>
      <c r="I67" s="16"/>
    </row>
    <row r="68" spans="1:9" ht="20.149999999999999" customHeight="1">
      <c r="A68" s="13"/>
      <c r="B68" s="14"/>
      <c r="C68" s="15">
        <v>7.3559999999999999</v>
      </c>
      <c r="D68" s="15">
        <v>12.36</v>
      </c>
      <c r="E68" s="15">
        <v>11.03</v>
      </c>
      <c r="F68" s="15">
        <v>12.29</v>
      </c>
      <c r="G68" s="16"/>
      <c r="H68" s="16"/>
      <c r="I68" s="16"/>
    </row>
    <row r="69" spans="1:9" ht="20.149999999999999" customHeight="1">
      <c r="A69" s="13"/>
      <c r="B69" s="14"/>
      <c r="C69" s="15">
        <v>7.4130000000000003</v>
      </c>
      <c r="D69" s="15">
        <v>12.35</v>
      </c>
      <c r="E69" s="15">
        <v>11.05</v>
      </c>
      <c r="F69" s="15">
        <v>12.28</v>
      </c>
      <c r="G69" s="16"/>
      <c r="H69" s="16"/>
      <c r="I69" s="16"/>
    </row>
    <row r="70" spans="1:9" ht="20.149999999999999" customHeight="1">
      <c r="A70" s="13"/>
      <c r="B70" s="14"/>
      <c r="C70" s="15">
        <v>7.5110000000000001</v>
      </c>
      <c r="D70" s="15">
        <v>12.34</v>
      </c>
      <c r="E70" s="15">
        <v>11.07</v>
      </c>
      <c r="F70" s="15">
        <v>12.27</v>
      </c>
      <c r="G70" s="16"/>
      <c r="H70" s="16"/>
      <c r="I70" s="16"/>
    </row>
    <row r="71" spans="1:9" ht="20.149999999999999" customHeight="1">
      <c r="A71" s="13"/>
      <c r="B71" s="14"/>
      <c r="C71" s="15">
        <v>7.56</v>
      </c>
      <c r="D71" s="15">
        <v>12.33</v>
      </c>
      <c r="E71" s="15">
        <v>11.09</v>
      </c>
      <c r="F71" s="15">
        <v>12.26</v>
      </c>
      <c r="G71" s="16"/>
      <c r="H71" s="16"/>
      <c r="I71" s="16"/>
    </row>
    <row r="72" spans="1:9" ht="20.149999999999999" customHeight="1">
      <c r="A72" s="13"/>
      <c r="B72" s="14"/>
      <c r="C72" s="15">
        <v>7.5940000000000003</v>
      </c>
      <c r="D72" s="15">
        <v>12.32</v>
      </c>
      <c r="E72" s="15">
        <v>11.1</v>
      </c>
      <c r="F72" s="15">
        <v>12.25</v>
      </c>
      <c r="G72" s="16"/>
      <c r="H72" s="16"/>
      <c r="I72" s="16"/>
    </row>
    <row r="73" spans="1:9" ht="20.149999999999999" customHeight="1">
      <c r="A73" s="13"/>
      <c r="B73" s="14"/>
      <c r="C73" s="15">
        <v>7.633</v>
      </c>
      <c r="D73" s="15">
        <v>12.31</v>
      </c>
      <c r="E73" s="15">
        <v>11.12</v>
      </c>
      <c r="F73" s="15">
        <v>12.24</v>
      </c>
      <c r="G73" s="16"/>
      <c r="H73" s="16"/>
      <c r="I73" s="16"/>
    </row>
    <row r="74" spans="1:9" ht="20.149999999999999" customHeight="1">
      <c r="A74" s="13"/>
      <c r="B74" s="14"/>
      <c r="C74" s="15">
        <v>7.6580000000000004</v>
      </c>
      <c r="D74" s="15">
        <v>12.3</v>
      </c>
      <c r="E74" s="15">
        <v>11.13</v>
      </c>
      <c r="F74" s="15">
        <v>12.23</v>
      </c>
      <c r="G74" s="16"/>
      <c r="H74" s="16"/>
      <c r="I74" s="16"/>
    </row>
    <row r="75" spans="1:9" ht="20.149999999999999" customHeight="1">
      <c r="A75" s="13"/>
      <c r="B75" s="14"/>
      <c r="C75" s="15">
        <v>7.6849999999999996</v>
      </c>
      <c r="D75" s="15">
        <v>12.29</v>
      </c>
      <c r="E75" s="15">
        <v>11.14</v>
      </c>
      <c r="F75" s="15">
        <v>12.22</v>
      </c>
      <c r="G75" s="16"/>
      <c r="H75" s="16"/>
      <c r="I75" s="16"/>
    </row>
    <row r="76" spans="1:9" ht="20.149999999999999" customHeight="1">
      <c r="A76" s="13"/>
      <c r="B76" s="14"/>
      <c r="C76" s="15">
        <v>7.7110000000000003</v>
      </c>
      <c r="D76" s="15">
        <v>12.28</v>
      </c>
      <c r="E76" s="15">
        <v>11.15</v>
      </c>
      <c r="F76" s="15">
        <v>12.21</v>
      </c>
      <c r="G76" s="16"/>
      <c r="H76" s="16"/>
      <c r="I76" s="16"/>
    </row>
    <row r="77" spans="1:9" ht="20.149999999999999" customHeight="1">
      <c r="A77" s="13"/>
      <c r="B77" s="14"/>
      <c r="C77" s="15">
        <v>7.73</v>
      </c>
      <c r="D77" s="15">
        <v>12.27</v>
      </c>
      <c r="E77" s="15">
        <v>11.17</v>
      </c>
      <c r="F77" s="15">
        <v>12.2</v>
      </c>
      <c r="G77" s="16"/>
      <c r="H77" s="16"/>
      <c r="I77" s="16"/>
    </row>
    <row r="78" spans="1:9" ht="20.149999999999999" customHeight="1">
      <c r="A78" s="13"/>
      <c r="B78" s="14"/>
      <c r="C78" s="15">
        <v>7.7469999999999999</v>
      </c>
      <c r="D78" s="15">
        <v>12.26</v>
      </c>
      <c r="E78" s="15">
        <v>11.17</v>
      </c>
      <c r="F78" s="15">
        <v>12.19</v>
      </c>
      <c r="G78" s="16"/>
      <c r="H78" s="16"/>
      <c r="I78" s="16"/>
    </row>
    <row r="79" spans="1:9" ht="20.149999999999999" customHeight="1">
      <c r="A79" s="13"/>
      <c r="B79" s="14"/>
      <c r="C79" s="15">
        <v>7.7569999999999997</v>
      </c>
      <c r="D79" s="15">
        <v>12.25</v>
      </c>
      <c r="E79" s="15">
        <v>11.19</v>
      </c>
      <c r="F79" s="15">
        <v>12.18</v>
      </c>
      <c r="G79" s="16"/>
      <c r="H79" s="16"/>
      <c r="I79" s="16"/>
    </row>
    <row r="80" spans="1:9" ht="20.149999999999999" customHeight="1">
      <c r="A80" s="13"/>
      <c r="B80" s="14"/>
      <c r="C80" s="15">
        <v>7.7679999999999998</v>
      </c>
      <c r="D80" s="15">
        <v>12.24</v>
      </c>
      <c r="E80" s="15">
        <v>11.19</v>
      </c>
      <c r="F80" s="15">
        <v>12.17</v>
      </c>
      <c r="G80" s="16"/>
      <c r="H80" s="16"/>
      <c r="I80" s="16"/>
    </row>
    <row r="81" spans="1:9" ht="20.149999999999999" customHeight="1">
      <c r="A81" s="13"/>
      <c r="B81" s="14"/>
      <c r="C81" s="15">
        <v>7.78</v>
      </c>
      <c r="D81" s="15">
        <v>12.23</v>
      </c>
      <c r="E81" s="15">
        <v>11.21</v>
      </c>
      <c r="F81" s="15">
        <v>12.16</v>
      </c>
      <c r="G81" s="16"/>
      <c r="H81" s="16"/>
      <c r="I81" s="16"/>
    </row>
    <row r="82" spans="1:9" ht="20.149999999999999" customHeight="1">
      <c r="A82" s="13"/>
      <c r="B82" s="14"/>
      <c r="C82" s="15">
        <v>7.7939999999999996</v>
      </c>
      <c r="D82" s="15">
        <v>12.22</v>
      </c>
      <c r="E82" s="15">
        <v>11.22</v>
      </c>
      <c r="F82" s="15">
        <v>12.15</v>
      </c>
      <c r="G82" s="16"/>
      <c r="H82" s="16"/>
      <c r="I82" s="16"/>
    </row>
    <row r="83" spans="1:9" ht="20.149999999999999" customHeight="1">
      <c r="A83" s="13"/>
      <c r="B83" s="14"/>
      <c r="C83" s="15">
        <v>7.8010000000000002</v>
      </c>
      <c r="D83" s="15">
        <v>12.21</v>
      </c>
      <c r="E83" s="15">
        <v>11.22</v>
      </c>
      <c r="F83" s="15">
        <v>12.14</v>
      </c>
      <c r="G83" s="16"/>
      <c r="H83" s="16"/>
      <c r="I83" s="16"/>
    </row>
    <row r="84" spans="1:9" ht="20.149999999999999" customHeight="1">
      <c r="A84" s="13"/>
      <c r="B84" s="14"/>
      <c r="C84" s="15">
        <v>7.8120000000000003</v>
      </c>
      <c r="D84" s="15">
        <v>12.2</v>
      </c>
      <c r="E84" s="15">
        <v>11.23</v>
      </c>
      <c r="F84" s="15">
        <v>12.13</v>
      </c>
      <c r="G84" s="16"/>
      <c r="H84" s="16"/>
      <c r="I84" s="16"/>
    </row>
    <row r="85" spans="1:9" ht="20.149999999999999" customHeight="1">
      <c r="A85" s="13"/>
      <c r="B85" s="14"/>
      <c r="C85" s="15">
        <v>7.8209999999999997</v>
      </c>
      <c r="D85" s="15">
        <v>12.19</v>
      </c>
      <c r="E85" s="15">
        <v>11.24</v>
      </c>
      <c r="F85" s="15">
        <v>12.12</v>
      </c>
      <c r="G85" s="16"/>
      <c r="H85" s="16"/>
      <c r="I85" s="16"/>
    </row>
    <row r="86" spans="1:9" ht="20.149999999999999" customHeight="1">
      <c r="A86" s="13"/>
      <c r="B86" s="14"/>
      <c r="C86" s="15">
        <v>7.8330000000000002</v>
      </c>
      <c r="D86" s="15">
        <v>12.18</v>
      </c>
      <c r="E86" s="15">
        <v>11.25</v>
      </c>
      <c r="F86" s="15">
        <v>12.11</v>
      </c>
      <c r="G86" s="16"/>
      <c r="H86" s="16"/>
      <c r="I86" s="16"/>
    </row>
    <row r="87" spans="1:9" ht="20.149999999999999" customHeight="1">
      <c r="A87" s="13"/>
      <c r="B87" s="14"/>
      <c r="C87" s="15">
        <v>7.8369999999999997</v>
      </c>
      <c r="D87" s="15">
        <v>12.17</v>
      </c>
      <c r="E87" s="15">
        <v>11.26</v>
      </c>
      <c r="F87" s="15">
        <v>12.1</v>
      </c>
      <c r="G87" s="16"/>
      <c r="H87" s="16"/>
      <c r="I87" s="16"/>
    </row>
    <row r="88" spans="1:9" ht="20.149999999999999" customHeight="1">
      <c r="A88" s="13"/>
      <c r="B88" s="14"/>
      <c r="C88" s="15">
        <v>7.8490000000000002</v>
      </c>
      <c r="D88" s="15">
        <v>12.16</v>
      </c>
      <c r="E88" s="15">
        <v>11.26</v>
      </c>
      <c r="F88" s="15">
        <v>12.09</v>
      </c>
      <c r="G88" s="16"/>
      <c r="H88" s="16"/>
      <c r="I88" s="16"/>
    </row>
    <row r="89" spans="1:9" ht="20.149999999999999" customHeight="1">
      <c r="A89" s="13"/>
      <c r="B89" s="14"/>
      <c r="C89" s="15">
        <v>7.8579999999999997</v>
      </c>
      <c r="D89" s="15">
        <v>12.15</v>
      </c>
      <c r="E89" s="15">
        <v>11.27</v>
      </c>
      <c r="F89" s="15">
        <v>12.08</v>
      </c>
      <c r="G89" s="16"/>
      <c r="H89" s="16"/>
      <c r="I89" s="16"/>
    </row>
    <row r="90" spans="1:9" ht="20.149999999999999" customHeight="1">
      <c r="A90" s="13"/>
      <c r="B90" s="14"/>
      <c r="C90" s="15">
        <v>7.867</v>
      </c>
      <c r="D90" s="15">
        <v>12.14</v>
      </c>
      <c r="E90" s="15">
        <v>11.28</v>
      </c>
      <c r="F90" s="15">
        <v>12.07</v>
      </c>
      <c r="G90" s="16"/>
      <c r="H90" s="16"/>
      <c r="I90" s="16"/>
    </row>
    <row r="91" spans="1:9" ht="20.149999999999999" customHeight="1">
      <c r="A91" s="13"/>
      <c r="B91" s="14"/>
      <c r="C91" s="15">
        <v>7.8769999999999998</v>
      </c>
      <c r="D91" s="15">
        <v>12.13</v>
      </c>
      <c r="E91" s="15">
        <v>11.28</v>
      </c>
      <c r="F91" s="15">
        <v>12.06</v>
      </c>
      <c r="G91" s="16"/>
      <c r="H91" s="16"/>
      <c r="I91" s="16"/>
    </row>
    <row r="92" spans="1:9" ht="20.149999999999999" customHeight="1">
      <c r="A92" s="13"/>
      <c r="B92" s="14"/>
      <c r="C92" s="15">
        <v>7.8849999999999998</v>
      </c>
      <c r="D92" s="15">
        <v>12.12</v>
      </c>
      <c r="E92" s="15">
        <v>11.29</v>
      </c>
      <c r="F92" s="15">
        <v>12.05</v>
      </c>
      <c r="G92" s="16"/>
      <c r="H92" s="16"/>
      <c r="I92" s="16"/>
    </row>
    <row r="93" spans="1:9" ht="20.149999999999999" customHeight="1">
      <c r="A93" s="13"/>
      <c r="B93" s="14"/>
      <c r="C93" s="15">
        <v>7.891</v>
      </c>
      <c r="D93" s="15">
        <v>12.11</v>
      </c>
      <c r="E93" s="15">
        <v>11.3</v>
      </c>
      <c r="F93" s="15">
        <v>12.04</v>
      </c>
      <c r="G93" s="16"/>
      <c r="H93" s="16"/>
      <c r="I93" s="16"/>
    </row>
    <row r="94" spans="1:9" ht="20.149999999999999" customHeight="1">
      <c r="A94" s="13"/>
      <c r="B94" s="14"/>
      <c r="C94" s="15">
        <v>7.899</v>
      </c>
      <c r="D94" s="15">
        <v>12.1</v>
      </c>
      <c r="E94" s="15">
        <v>11.31</v>
      </c>
      <c r="F94" s="15">
        <v>12.03</v>
      </c>
      <c r="G94" s="16"/>
      <c r="H94" s="16"/>
      <c r="I94" s="16"/>
    </row>
    <row r="95" spans="1:9" ht="20.149999999999999" customHeight="1">
      <c r="A95" s="13"/>
      <c r="B95" s="14"/>
      <c r="C95" s="15">
        <v>7.9039999999999999</v>
      </c>
      <c r="D95" s="15">
        <v>12.09</v>
      </c>
      <c r="E95" s="15">
        <v>11.32</v>
      </c>
      <c r="F95" s="15">
        <v>12.02</v>
      </c>
      <c r="G95" s="16"/>
      <c r="H95" s="16"/>
      <c r="I95" s="16"/>
    </row>
    <row r="96" spans="1:9" ht="20.149999999999999" customHeight="1">
      <c r="A96" s="13"/>
      <c r="B96" s="14"/>
      <c r="C96" s="15">
        <v>7.9139999999999997</v>
      </c>
      <c r="D96" s="15">
        <v>12.08</v>
      </c>
      <c r="E96" s="15">
        <v>11.32</v>
      </c>
      <c r="F96" s="15">
        <v>12.01</v>
      </c>
      <c r="G96" s="16"/>
      <c r="H96" s="16"/>
      <c r="I96" s="16"/>
    </row>
    <row r="97" spans="1:9" ht="20.149999999999999" customHeight="1">
      <c r="A97" s="13"/>
      <c r="B97" s="14"/>
      <c r="C97" s="15">
        <v>7.9210000000000003</v>
      </c>
      <c r="D97" s="15">
        <v>12.07</v>
      </c>
      <c r="E97" s="15">
        <v>11.32</v>
      </c>
      <c r="F97" s="15">
        <v>12</v>
      </c>
      <c r="G97" s="16"/>
      <c r="H97" s="16"/>
      <c r="I97" s="16"/>
    </row>
    <row r="98" spans="1:9" ht="20.149999999999999" customHeight="1">
      <c r="A98" s="13"/>
      <c r="B98" s="14"/>
      <c r="C98" s="15">
        <v>7.9290000000000003</v>
      </c>
      <c r="D98" s="15">
        <v>12.06</v>
      </c>
      <c r="E98" s="16"/>
      <c r="F98" s="16"/>
      <c r="G98" s="16"/>
      <c r="H98" s="16"/>
      <c r="I98" s="16"/>
    </row>
    <row r="99" spans="1:9" ht="20.149999999999999" customHeight="1">
      <c r="A99" s="13"/>
      <c r="B99" s="14"/>
      <c r="C99" s="15">
        <v>7.9359999999999999</v>
      </c>
      <c r="D99" s="15">
        <v>12.05</v>
      </c>
      <c r="E99" s="16"/>
      <c r="F99" s="16"/>
      <c r="G99" s="16"/>
      <c r="H99" s="16"/>
      <c r="I99" s="16"/>
    </row>
    <row r="100" spans="1:9" ht="20.149999999999999" customHeight="1">
      <c r="A100" s="13"/>
      <c r="B100" s="14"/>
      <c r="C100" s="15">
        <v>7.9459999999999997</v>
      </c>
      <c r="D100" s="15">
        <v>12.04</v>
      </c>
      <c r="E100" s="16"/>
      <c r="F100" s="16"/>
      <c r="G100" s="16"/>
      <c r="H100" s="16"/>
      <c r="I100" s="16"/>
    </row>
    <row r="101" spans="1:9" ht="20.149999999999999" customHeight="1">
      <c r="A101" s="13"/>
      <c r="B101" s="14"/>
      <c r="C101" s="15">
        <v>7.9530000000000003</v>
      </c>
      <c r="D101" s="15">
        <v>12.03</v>
      </c>
      <c r="E101" s="16"/>
      <c r="F101" s="16"/>
      <c r="G101" s="16"/>
      <c r="H101" s="16"/>
      <c r="I101" s="16"/>
    </row>
    <row r="102" spans="1:9" ht="20.149999999999999" customHeight="1">
      <c r="A102" s="13"/>
      <c r="B102" s="14"/>
      <c r="C102" s="15">
        <v>7.9610000000000003</v>
      </c>
      <c r="D102" s="15">
        <v>12.02</v>
      </c>
      <c r="E102" s="16"/>
      <c r="F102" s="16"/>
      <c r="G102" s="16"/>
      <c r="H102" s="16"/>
      <c r="I102" s="16"/>
    </row>
    <row r="103" spans="1:9" ht="20.149999999999999" customHeight="1">
      <c r="A103" s="13"/>
      <c r="B103" s="14"/>
      <c r="C103" s="15">
        <v>7.9690000000000003</v>
      </c>
      <c r="D103" s="15">
        <v>12.01</v>
      </c>
      <c r="E103" s="16"/>
      <c r="F103" s="16"/>
      <c r="G103" s="16"/>
      <c r="H103" s="16"/>
      <c r="I103" s="16"/>
    </row>
    <row r="104" spans="1:9" ht="20.149999999999999" customHeight="1">
      <c r="A104" s="13"/>
      <c r="B104" s="14"/>
      <c r="C104" s="16"/>
      <c r="D104" s="16"/>
      <c r="E104" s="16"/>
      <c r="F104" s="16"/>
      <c r="G104" s="16"/>
      <c r="H104" s="16"/>
      <c r="I104" s="16"/>
    </row>
    <row r="105" spans="1:9" ht="20.149999999999999" customHeight="1">
      <c r="A105" s="13"/>
      <c r="B105" s="14"/>
      <c r="C105" s="16"/>
      <c r="D105" s="16"/>
      <c r="E105" s="16"/>
      <c r="F105" s="16"/>
      <c r="G105" s="16"/>
      <c r="H105" s="16"/>
      <c r="I105" s="16"/>
    </row>
    <row r="106" spans="1:9" ht="20.149999999999999" customHeight="1">
      <c r="A106" s="13"/>
      <c r="B106" s="14"/>
      <c r="C106" s="16"/>
      <c r="D106" s="16"/>
      <c r="E106" s="16"/>
      <c r="F106" s="16"/>
      <c r="G106" s="16"/>
      <c r="H106" s="16"/>
      <c r="I106" s="16"/>
    </row>
    <row r="107" spans="1:9" ht="20.149999999999999" customHeight="1">
      <c r="A107" s="13"/>
      <c r="B107" s="14"/>
      <c r="C107" s="16"/>
      <c r="D107" s="16"/>
      <c r="E107" s="16"/>
      <c r="F107" s="16"/>
      <c r="G107" s="16"/>
      <c r="H107" s="16"/>
      <c r="I107" s="16"/>
    </row>
    <row r="108" spans="1:9" ht="20.149999999999999" customHeight="1">
      <c r="A108" s="13"/>
      <c r="B108" s="18" t="s">
        <v>11</v>
      </c>
      <c r="C108" s="16"/>
      <c r="D108" s="16"/>
      <c r="E108" s="16"/>
      <c r="F108" s="16"/>
      <c r="G108" s="16"/>
      <c r="H108" s="16"/>
      <c r="I108" s="16"/>
    </row>
    <row r="109" spans="1:9" ht="20.149999999999999" customHeight="1">
      <c r="A109" s="13"/>
      <c r="B109" s="14"/>
      <c r="C109" s="15">
        <v>7.3999999999999996E-2</v>
      </c>
      <c r="D109" s="15">
        <v>12.94</v>
      </c>
      <c r="E109" s="16"/>
      <c r="F109" s="16"/>
      <c r="G109" s="16"/>
      <c r="H109" s="16"/>
      <c r="I109" s="16"/>
    </row>
    <row r="110" spans="1:9" ht="20.149999999999999" customHeight="1">
      <c r="A110" s="13"/>
      <c r="B110" s="14"/>
      <c r="C110" s="15">
        <v>0.84799999999999998</v>
      </c>
      <c r="D110" s="15">
        <v>12.93</v>
      </c>
      <c r="E110" s="16"/>
      <c r="F110" s="16"/>
      <c r="G110" s="16"/>
      <c r="H110" s="16"/>
      <c r="I110" s="16"/>
    </row>
    <row r="111" spans="1:9" ht="20.149999999999999" customHeight="1">
      <c r="A111" s="13"/>
      <c r="B111" s="14"/>
      <c r="C111" s="15">
        <v>1.764</v>
      </c>
      <c r="D111" s="15">
        <v>12.92</v>
      </c>
      <c r="E111" s="16"/>
      <c r="F111" s="16"/>
      <c r="G111" s="16"/>
      <c r="H111" s="16"/>
      <c r="I111" s="16"/>
    </row>
    <row r="112" spans="1:9" ht="20.149999999999999" customHeight="1">
      <c r="A112" s="13"/>
      <c r="B112" s="14"/>
      <c r="C112" s="15">
        <v>2.3780000000000001</v>
      </c>
      <c r="D112" s="15">
        <v>12.91</v>
      </c>
      <c r="E112" s="16"/>
      <c r="F112" s="16"/>
      <c r="G112" s="16"/>
      <c r="H112" s="16"/>
      <c r="I112" s="16"/>
    </row>
    <row r="113" spans="1:9" ht="20.149999999999999" customHeight="1">
      <c r="A113" s="13"/>
      <c r="B113" s="14"/>
      <c r="C113" s="15">
        <v>2.7759999999999998</v>
      </c>
      <c r="D113" s="15">
        <v>12.9</v>
      </c>
      <c r="E113" s="16"/>
      <c r="F113" s="16"/>
      <c r="G113" s="16"/>
      <c r="H113" s="16"/>
      <c r="I113" s="16"/>
    </row>
    <row r="114" spans="1:9" ht="20.149999999999999" customHeight="1">
      <c r="A114" s="13"/>
      <c r="B114" s="14"/>
      <c r="C114" s="15">
        <v>3.0670000000000002</v>
      </c>
      <c r="D114" s="15">
        <v>12.89</v>
      </c>
      <c r="E114" s="16"/>
      <c r="F114" s="16"/>
      <c r="G114" s="16"/>
      <c r="H114" s="16"/>
      <c r="I114" s="16"/>
    </row>
    <row r="115" spans="1:9" ht="20.149999999999999" customHeight="1">
      <c r="A115" s="13"/>
      <c r="B115" s="14"/>
      <c r="C115" s="15">
        <v>3.29</v>
      </c>
      <c r="D115" s="15">
        <v>12.88</v>
      </c>
      <c r="E115" s="16"/>
      <c r="F115" s="16"/>
      <c r="G115" s="16"/>
      <c r="H115" s="16"/>
      <c r="I115" s="16"/>
    </row>
    <row r="116" spans="1:9" ht="20.149999999999999" customHeight="1">
      <c r="A116" s="13"/>
      <c r="B116" s="14"/>
      <c r="C116" s="15">
        <v>3.4529999999999998</v>
      </c>
      <c r="D116" s="15">
        <v>12.87</v>
      </c>
      <c r="E116" s="16"/>
      <c r="F116" s="16"/>
      <c r="G116" s="16"/>
      <c r="H116" s="16"/>
      <c r="I116" s="16"/>
    </row>
    <row r="117" spans="1:9" ht="20.149999999999999" customHeight="1">
      <c r="A117" s="13"/>
      <c r="B117" s="14"/>
      <c r="C117" s="15">
        <v>3.5720000000000001</v>
      </c>
      <c r="D117" s="15">
        <v>12.86</v>
      </c>
      <c r="E117" s="16"/>
      <c r="F117" s="16"/>
      <c r="G117" s="16"/>
      <c r="H117" s="16"/>
      <c r="I117" s="16"/>
    </row>
    <row r="118" spans="1:9" ht="20.149999999999999" customHeight="1">
      <c r="A118" s="13"/>
      <c r="B118" s="14"/>
      <c r="C118" s="15">
        <v>3.718</v>
      </c>
      <c r="D118" s="15">
        <v>12.85</v>
      </c>
      <c r="E118" s="16"/>
      <c r="F118" s="16"/>
      <c r="G118" s="16"/>
      <c r="H118" s="16"/>
      <c r="I118" s="16"/>
    </row>
    <row r="119" spans="1:9" ht="20.149999999999999" customHeight="1">
      <c r="A119" s="13"/>
      <c r="B119" s="14"/>
      <c r="C119" s="15">
        <v>3.7949999999999999</v>
      </c>
      <c r="D119" s="15">
        <v>12.84</v>
      </c>
      <c r="E119" s="16"/>
      <c r="F119" s="16"/>
      <c r="G119" s="16"/>
      <c r="H119" s="16"/>
      <c r="I119" s="16"/>
    </row>
    <row r="120" spans="1:9" ht="20.149999999999999" customHeight="1">
      <c r="A120" s="13"/>
      <c r="B120" s="14"/>
      <c r="C120" s="15">
        <v>3.9409999999999998</v>
      </c>
      <c r="D120" s="15">
        <v>12.83</v>
      </c>
      <c r="E120" s="16"/>
      <c r="F120" s="16"/>
      <c r="G120" s="16"/>
      <c r="H120" s="16"/>
      <c r="I120" s="16"/>
    </row>
    <row r="121" spans="1:9" ht="20.149999999999999" customHeight="1">
      <c r="A121" s="13"/>
      <c r="B121" s="14"/>
      <c r="C121" s="15">
        <v>4.0030000000000001</v>
      </c>
      <c r="D121" s="15">
        <v>12.82</v>
      </c>
      <c r="E121" s="16"/>
      <c r="F121" s="16"/>
      <c r="G121" s="16"/>
      <c r="H121" s="16"/>
      <c r="I121" s="16"/>
    </row>
    <row r="122" spans="1:9" ht="20.149999999999999" customHeight="1">
      <c r="A122" s="13"/>
      <c r="B122" s="14"/>
      <c r="C122" s="15">
        <v>4.1340000000000003</v>
      </c>
      <c r="D122" s="15">
        <v>12.81</v>
      </c>
      <c r="E122" s="16"/>
      <c r="F122" s="16"/>
      <c r="G122" s="16"/>
      <c r="H122" s="16"/>
      <c r="I122" s="16"/>
    </row>
    <row r="123" spans="1:9" ht="20.149999999999999" customHeight="1">
      <c r="A123" s="13"/>
      <c r="B123" s="14"/>
      <c r="C123" s="15">
        <v>4.2640000000000002</v>
      </c>
      <c r="D123" s="15">
        <v>12.8</v>
      </c>
      <c r="E123" s="16"/>
      <c r="F123" s="16"/>
      <c r="G123" s="16"/>
      <c r="H123" s="16"/>
      <c r="I123" s="16"/>
    </row>
    <row r="124" spans="1:9" ht="20.149999999999999" customHeight="1">
      <c r="A124" s="13"/>
      <c r="B124" s="14"/>
      <c r="C124" s="15">
        <v>4.4669999999999996</v>
      </c>
      <c r="D124" s="15">
        <v>12.79</v>
      </c>
      <c r="E124" s="16"/>
      <c r="F124" s="16"/>
      <c r="G124" s="16"/>
      <c r="H124" s="16"/>
      <c r="I124" s="16"/>
    </row>
    <row r="125" spans="1:9" ht="20.149999999999999" customHeight="1">
      <c r="A125" s="13"/>
      <c r="B125" s="14"/>
      <c r="C125" s="15">
        <v>4.782</v>
      </c>
      <c r="D125" s="15">
        <v>12.78</v>
      </c>
      <c r="E125" s="16"/>
      <c r="F125" s="16"/>
      <c r="G125" s="16"/>
      <c r="H125" s="16"/>
      <c r="I125" s="16"/>
    </row>
    <row r="126" spans="1:9" ht="20.149999999999999" customHeight="1">
      <c r="A126" s="13"/>
      <c r="B126" s="14"/>
      <c r="C126" s="15">
        <v>5.085</v>
      </c>
      <c r="D126" s="15">
        <v>12.77</v>
      </c>
      <c r="E126" s="16"/>
      <c r="F126" s="16"/>
      <c r="G126" s="16"/>
      <c r="H126" s="16"/>
      <c r="I126" s="16"/>
    </row>
    <row r="127" spans="1:9" ht="20.149999999999999" customHeight="1">
      <c r="A127" s="13"/>
      <c r="B127" s="14"/>
      <c r="C127" s="15">
        <v>5.5259999999999998</v>
      </c>
      <c r="D127" s="15">
        <v>12.76</v>
      </c>
      <c r="E127" s="16"/>
      <c r="F127" s="16"/>
      <c r="G127" s="16"/>
      <c r="H127" s="16"/>
      <c r="I127" s="16"/>
    </row>
    <row r="128" spans="1:9" ht="20.149999999999999" customHeight="1">
      <c r="A128" s="13"/>
      <c r="B128" s="14"/>
      <c r="C128" s="15">
        <v>6.3179999999999996</v>
      </c>
      <c r="D128" s="15">
        <v>12.75</v>
      </c>
      <c r="E128" s="16"/>
      <c r="F128" s="16"/>
      <c r="G128" s="16"/>
      <c r="H128" s="16"/>
      <c r="I128" s="16"/>
    </row>
    <row r="129" spans="1:9" ht="20.149999999999999" customHeight="1">
      <c r="A129" s="13"/>
      <c r="B129" s="14"/>
      <c r="C129" s="15">
        <v>6.9189999999999996</v>
      </c>
      <c r="D129" s="15">
        <v>12.74</v>
      </c>
      <c r="E129" s="16"/>
      <c r="F129" s="16"/>
      <c r="G129" s="16"/>
      <c r="H129" s="16"/>
      <c r="I129" s="16"/>
    </row>
    <row r="130" spans="1:9" ht="20.149999999999999" customHeight="1">
      <c r="A130" s="13"/>
      <c r="B130" s="14"/>
      <c r="C130" s="15">
        <v>7.266</v>
      </c>
      <c r="D130" s="15">
        <v>12.73</v>
      </c>
      <c r="E130" s="16"/>
      <c r="F130" s="16"/>
      <c r="G130" s="16"/>
      <c r="H130" s="16"/>
      <c r="I130" s="16"/>
    </row>
    <row r="131" spans="1:9" ht="20.149999999999999" customHeight="1">
      <c r="A131" s="13"/>
      <c r="B131" s="14"/>
      <c r="C131" s="15">
        <v>7.4740000000000002</v>
      </c>
      <c r="D131" s="15">
        <v>12.72</v>
      </c>
      <c r="E131" s="16"/>
      <c r="F131" s="16"/>
      <c r="G131" s="16"/>
      <c r="H131" s="16"/>
      <c r="I131" s="16"/>
    </row>
    <row r="132" spans="1:9" ht="20.149999999999999" customHeight="1">
      <c r="A132" s="13"/>
      <c r="B132" s="14"/>
      <c r="C132" s="15">
        <v>7.742</v>
      </c>
      <c r="D132" s="15">
        <v>12.71</v>
      </c>
      <c r="E132" s="16"/>
      <c r="F132" s="16"/>
      <c r="G132" s="16"/>
      <c r="H132" s="16"/>
      <c r="I132" s="16"/>
    </row>
    <row r="133" spans="1:9" ht="20.149999999999999" customHeight="1">
      <c r="A133" s="13"/>
      <c r="B133" s="14"/>
      <c r="C133" s="15">
        <v>7.923</v>
      </c>
      <c r="D133" s="15">
        <v>12.7</v>
      </c>
      <c r="E133" s="16"/>
      <c r="F133" s="16"/>
      <c r="G133" s="16"/>
      <c r="H133" s="16"/>
      <c r="I133" s="16"/>
    </row>
    <row r="134" spans="1:9" ht="20.149999999999999" customHeight="1">
      <c r="A134" s="13"/>
      <c r="B134" s="14"/>
      <c r="C134" s="15">
        <v>8.0259999999999998</v>
      </c>
      <c r="D134" s="15">
        <v>12.69</v>
      </c>
      <c r="E134" s="16"/>
      <c r="F134" s="16"/>
      <c r="G134" s="16"/>
      <c r="H134" s="16"/>
      <c r="I134" s="16"/>
    </row>
    <row r="135" spans="1:9" ht="20.149999999999999" customHeight="1">
      <c r="A135" s="13"/>
      <c r="B135" s="14"/>
      <c r="C135" s="15">
        <v>8.1560000000000006</v>
      </c>
      <c r="D135" s="15">
        <v>12.68</v>
      </c>
      <c r="E135" s="16"/>
      <c r="F135" s="16"/>
      <c r="G135" s="16"/>
      <c r="H135" s="16"/>
      <c r="I135" s="16"/>
    </row>
    <row r="136" spans="1:9" ht="20.149999999999999" customHeight="1">
      <c r="A136" s="13"/>
      <c r="B136" s="14"/>
      <c r="C136" s="15">
        <v>8.2550000000000008</v>
      </c>
      <c r="D136" s="15">
        <v>12.67</v>
      </c>
      <c r="E136" s="16"/>
      <c r="F136" s="16"/>
      <c r="G136" s="16"/>
      <c r="H136" s="16"/>
      <c r="I136" s="16"/>
    </row>
    <row r="137" spans="1:9" ht="20.149999999999999" customHeight="1">
      <c r="A137" s="13"/>
      <c r="B137" s="14"/>
      <c r="C137" s="15">
        <v>8.3439999999999994</v>
      </c>
      <c r="D137" s="15">
        <v>12.66</v>
      </c>
      <c r="E137" s="16"/>
      <c r="F137" s="16"/>
      <c r="G137" s="16"/>
      <c r="H137" s="16"/>
      <c r="I137" s="16"/>
    </row>
    <row r="138" spans="1:9" ht="20.149999999999999" customHeight="1">
      <c r="A138" s="13"/>
      <c r="B138" s="14"/>
      <c r="C138" s="15">
        <v>8.452</v>
      </c>
      <c r="D138" s="15">
        <v>12.65</v>
      </c>
      <c r="E138" s="16"/>
      <c r="F138" s="16"/>
      <c r="G138" s="16"/>
      <c r="H138" s="16"/>
      <c r="I138" s="16"/>
    </row>
    <row r="139" spans="1:9" ht="20.149999999999999" customHeight="1">
      <c r="A139" s="13"/>
      <c r="B139" s="14"/>
      <c r="C139" s="15">
        <v>8.5510000000000002</v>
      </c>
      <c r="D139" s="15">
        <v>12.64</v>
      </c>
      <c r="E139" s="16"/>
      <c r="F139" s="16"/>
      <c r="G139" s="16"/>
      <c r="H139" s="16"/>
      <c r="I139" s="16"/>
    </row>
    <row r="140" spans="1:9" ht="20.149999999999999" customHeight="1">
      <c r="A140" s="13"/>
      <c r="B140" s="14"/>
      <c r="C140" s="15">
        <v>8.6419999999999995</v>
      </c>
      <c r="D140" s="15">
        <v>12.63</v>
      </c>
      <c r="E140" s="16"/>
      <c r="F140" s="16"/>
      <c r="G140" s="16"/>
      <c r="H140" s="16"/>
      <c r="I140" s="16"/>
    </row>
    <row r="141" spans="1:9" ht="20.149999999999999" customHeight="1">
      <c r="A141" s="13"/>
      <c r="B141" s="14"/>
      <c r="C141" s="15">
        <v>8.718</v>
      </c>
      <c r="D141" s="15">
        <v>12.62</v>
      </c>
      <c r="E141" s="16"/>
      <c r="F141" s="16"/>
      <c r="G141" s="16"/>
      <c r="H141" s="16"/>
      <c r="I141" s="16"/>
    </row>
    <row r="142" spans="1:9" ht="20.149999999999999" customHeight="1">
      <c r="A142" s="13"/>
      <c r="B142" s="14"/>
      <c r="C142" s="15">
        <v>8.8040000000000003</v>
      </c>
      <c r="D142" s="15">
        <v>12.61</v>
      </c>
      <c r="E142" s="16"/>
      <c r="F142" s="16"/>
      <c r="G142" s="16"/>
      <c r="H142" s="16"/>
      <c r="I142" s="16"/>
    </row>
    <row r="143" spans="1:9" ht="20.149999999999999" customHeight="1">
      <c r="A143" s="13"/>
      <c r="B143" s="14"/>
      <c r="C143" s="15">
        <v>8.9280000000000008</v>
      </c>
      <c r="D143" s="15">
        <v>12.6</v>
      </c>
      <c r="E143" s="16"/>
      <c r="F143" s="16"/>
      <c r="G143" s="16"/>
      <c r="H143" s="16"/>
      <c r="I143" s="16"/>
    </row>
    <row r="144" spans="1:9" ht="20.149999999999999" customHeight="1">
      <c r="A144" s="13"/>
      <c r="B144" s="14"/>
      <c r="C144" s="15">
        <v>8.984</v>
      </c>
      <c r="D144" s="15">
        <v>12.59</v>
      </c>
      <c r="E144" s="16"/>
      <c r="F144" s="16"/>
      <c r="G144" s="16"/>
      <c r="H144" s="16"/>
      <c r="I144" s="16"/>
    </row>
    <row r="145" spans="1:9" ht="20.149999999999999" customHeight="1">
      <c r="A145" s="13"/>
      <c r="B145" s="14"/>
      <c r="C145" s="15">
        <v>9.1329999999999991</v>
      </c>
      <c r="D145" s="15">
        <v>12.58</v>
      </c>
      <c r="E145" s="16"/>
      <c r="F145" s="16"/>
      <c r="G145" s="16"/>
      <c r="H145" s="16"/>
      <c r="I145" s="16"/>
    </row>
    <row r="146" spans="1:9" ht="20.149999999999999" customHeight="1">
      <c r="A146" s="13"/>
      <c r="B146" s="14"/>
      <c r="C146" s="15">
        <v>9.2330000000000005</v>
      </c>
      <c r="D146" s="15">
        <v>12.57</v>
      </c>
      <c r="E146" s="16"/>
      <c r="F146" s="16"/>
      <c r="G146" s="16"/>
      <c r="H146" s="16"/>
      <c r="I146" s="16"/>
    </row>
    <row r="147" spans="1:9" ht="20.149999999999999" customHeight="1">
      <c r="A147" s="13"/>
      <c r="B147" s="14"/>
      <c r="C147" s="15">
        <v>9.3160000000000007</v>
      </c>
      <c r="D147" s="15">
        <v>12.56</v>
      </c>
      <c r="E147" s="16"/>
      <c r="F147" s="16"/>
      <c r="G147" s="16"/>
      <c r="H147" s="16"/>
      <c r="I147" s="16"/>
    </row>
    <row r="148" spans="1:9" ht="20.149999999999999" customHeight="1">
      <c r="A148" s="13"/>
      <c r="B148" s="14"/>
      <c r="C148" s="15">
        <v>9.3870000000000005</v>
      </c>
      <c r="D148" s="15">
        <v>12.55</v>
      </c>
      <c r="E148" s="16"/>
      <c r="F148" s="16"/>
      <c r="G148" s="16"/>
      <c r="H148" s="16"/>
      <c r="I148" s="16"/>
    </row>
    <row r="149" spans="1:9" ht="20.149999999999999" customHeight="1">
      <c r="A149" s="13"/>
      <c r="B149" s="14"/>
      <c r="C149" s="15">
        <v>9.44</v>
      </c>
      <c r="D149" s="15">
        <v>12.54</v>
      </c>
      <c r="E149" s="16"/>
      <c r="F149" s="16"/>
      <c r="G149" s="16"/>
      <c r="H149" s="16"/>
      <c r="I149" s="16"/>
    </row>
    <row r="150" spans="1:9" ht="20.149999999999999" customHeight="1">
      <c r="A150" s="13"/>
      <c r="B150" s="14"/>
      <c r="C150" s="15">
        <v>9.5109999999999992</v>
      </c>
      <c r="D150" s="15">
        <v>12.53</v>
      </c>
      <c r="E150" s="16"/>
      <c r="F150" s="16"/>
      <c r="G150" s="16"/>
      <c r="H150" s="16"/>
      <c r="I150" s="16"/>
    </row>
    <row r="151" spans="1:9" ht="20.149999999999999" customHeight="1">
      <c r="A151" s="13"/>
      <c r="B151" s="14"/>
      <c r="C151" s="15">
        <v>9.5820000000000007</v>
      </c>
      <c r="D151" s="15">
        <v>12.52</v>
      </c>
      <c r="E151" s="16"/>
      <c r="F151" s="16"/>
      <c r="G151" s="16"/>
      <c r="H151" s="16"/>
      <c r="I151" s="16"/>
    </row>
    <row r="152" spans="1:9" ht="20.149999999999999" customHeight="1">
      <c r="A152" s="13"/>
      <c r="B152" s="14"/>
      <c r="C152" s="15">
        <v>9.6519999999999992</v>
      </c>
      <c r="D152" s="15">
        <v>12.51</v>
      </c>
      <c r="E152" s="16"/>
      <c r="F152" s="16"/>
      <c r="G152" s="16"/>
      <c r="H152" s="16"/>
      <c r="I152" s="16"/>
    </row>
    <row r="153" spans="1:9" ht="20.149999999999999" customHeight="1">
      <c r="A153" s="13"/>
      <c r="B153" s="14"/>
      <c r="C153" s="15">
        <v>9.7200000000000006</v>
      </c>
      <c r="D153" s="15">
        <v>12.5</v>
      </c>
      <c r="E153" s="16"/>
      <c r="F153" s="16"/>
      <c r="G153" s="16"/>
      <c r="H153" s="16"/>
      <c r="I153" s="16"/>
    </row>
    <row r="154" spans="1:9" ht="20.149999999999999" customHeight="1">
      <c r="A154" s="13"/>
      <c r="B154" s="14"/>
      <c r="C154" s="15">
        <v>9.7840000000000007</v>
      </c>
      <c r="D154" s="15">
        <v>12.49</v>
      </c>
      <c r="E154" s="16"/>
      <c r="F154" s="16"/>
      <c r="G154" s="16"/>
      <c r="H154" s="16"/>
      <c r="I154" s="16"/>
    </row>
    <row r="155" spans="1:9" ht="20.149999999999999" customHeight="1">
      <c r="A155" s="13"/>
      <c r="B155" s="14"/>
      <c r="C155" s="15">
        <v>9.8230000000000004</v>
      </c>
      <c r="D155" s="15">
        <v>12.48</v>
      </c>
      <c r="E155" s="16"/>
      <c r="F155" s="16"/>
      <c r="G155" s="16"/>
      <c r="H155" s="16"/>
      <c r="I155" s="16"/>
    </row>
    <row r="156" spans="1:9" ht="20.149999999999999" customHeight="1">
      <c r="A156" s="13"/>
      <c r="B156" s="14"/>
      <c r="C156" s="15">
        <v>9.8810000000000002</v>
      </c>
      <c r="D156" s="15">
        <v>12.47</v>
      </c>
      <c r="E156" s="16"/>
      <c r="F156" s="16"/>
      <c r="G156" s="16"/>
      <c r="H156" s="16"/>
      <c r="I156" s="16"/>
    </row>
    <row r="157" spans="1:9" ht="20.149999999999999" customHeight="1">
      <c r="A157" s="13"/>
      <c r="B157" s="14"/>
      <c r="C157" s="15">
        <v>9.9649999999999999</v>
      </c>
      <c r="D157" s="15">
        <v>12.46</v>
      </c>
      <c r="E157" s="16"/>
      <c r="F157" s="16"/>
      <c r="G157" s="16"/>
      <c r="H157" s="16"/>
      <c r="I157" s="16"/>
    </row>
    <row r="158" spans="1:9" ht="20.149999999999999" customHeight="1">
      <c r="A158" s="13"/>
      <c r="B158" s="14"/>
      <c r="C158" s="15">
        <v>10.01</v>
      </c>
      <c r="D158" s="15">
        <v>12.45</v>
      </c>
      <c r="E158" s="16"/>
      <c r="F158" s="16"/>
      <c r="G158" s="16"/>
      <c r="H158" s="16"/>
      <c r="I158" s="16"/>
    </row>
    <row r="159" spans="1:9" ht="20.149999999999999" customHeight="1">
      <c r="A159" s="13"/>
      <c r="B159" s="14"/>
      <c r="C159" s="15">
        <v>10.039999999999999</v>
      </c>
      <c r="D159" s="15">
        <v>12.44</v>
      </c>
      <c r="E159" s="16"/>
      <c r="F159" s="16"/>
      <c r="G159" s="16"/>
      <c r="H159" s="16"/>
      <c r="I159" s="16"/>
    </row>
    <row r="160" spans="1:9" ht="20.149999999999999" customHeight="1">
      <c r="A160" s="13"/>
      <c r="B160" s="14"/>
      <c r="C160" s="15">
        <v>10.08</v>
      </c>
      <c r="D160" s="15">
        <v>12.43</v>
      </c>
      <c r="E160" s="16"/>
      <c r="F160" s="16"/>
      <c r="G160" s="16"/>
      <c r="H160" s="16"/>
      <c r="I160" s="16"/>
    </row>
    <row r="161" spans="1:9" ht="20.149999999999999" customHeight="1">
      <c r="A161" s="13"/>
      <c r="B161" s="14"/>
      <c r="C161" s="15">
        <v>10.16</v>
      </c>
      <c r="D161" s="15">
        <v>12.42</v>
      </c>
      <c r="E161" s="16"/>
      <c r="F161" s="16"/>
      <c r="G161" s="16"/>
      <c r="H161" s="16"/>
      <c r="I161" s="16"/>
    </row>
    <row r="162" spans="1:9" ht="20.149999999999999" customHeight="1">
      <c r="A162" s="13"/>
      <c r="B162" s="14"/>
      <c r="C162" s="15">
        <v>10.19</v>
      </c>
      <c r="D162" s="15">
        <v>12.41</v>
      </c>
      <c r="E162" s="16"/>
      <c r="F162" s="16"/>
      <c r="G162" s="16"/>
      <c r="H162" s="16"/>
      <c r="I162" s="16"/>
    </row>
    <row r="163" spans="1:9" ht="20.149999999999999" customHeight="1">
      <c r="A163" s="13"/>
      <c r="B163" s="14"/>
      <c r="C163" s="15">
        <v>10.220000000000001</v>
      </c>
      <c r="D163" s="15">
        <v>12.4</v>
      </c>
      <c r="E163" s="16"/>
      <c r="F163" s="16"/>
      <c r="G163" s="16"/>
      <c r="H163" s="16"/>
      <c r="I163" s="16"/>
    </row>
    <row r="164" spans="1:9" ht="20.149999999999999" customHeight="1">
      <c r="A164" s="13"/>
      <c r="B164" s="14"/>
      <c r="C164" s="15">
        <v>10.29</v>
      </c>
      <c r="D164" s="15">
        <v>12.39</v>
      </c>
      <c r="E164" s="16"/>
      <c r="F164" s="16"/>
      <c r="G164" s="16"/>
      <c r="H164" s="16"/>
      <c r="I164" s="16"/>
    </row>
    <row r="165" spans="1:9" ht="20.149999999999999" customHeight="1">
      <c r="A165" s="13"/>
      <c r="B165" s="14"/>
      <c r="C165" s="15">
        <v>10.34</v>
      </c>
      <c r="D165" s="15">
        <v>12.38</v>
      </c>
      <c r="E165" s="16"/>
      <c r="F165" s="16"/>
      <c r="G165" s="16"/>
      <c r="H165" s="16"/>
      <c r="I165" s="16"/>
    </row>
    <row r="166" spans="1:9" ht="20.149999999999999" customHeight="1">
      <c r="A166" s="13"/>
      <c r="B166" s="14"/>
      <c r="C166" s="15">
        <v>10.48</v>
      </c>
      <c r="D166" s="15">
        <v>12.37</v>
      </c>
      <c r="E166" s="16"/>
      <c r="F166" s="16"/>
      <c r="G166" s="16"/>
      <c r="H166" s="16"/>
      <c r="I166" s="16"/>
    </row>
    <row r="167" spans="1:9" ht="20.149999999999999" customHeight="1">
      <c r="A167" s="13"/>
      <c r="B167" s="14"/>
      <c r="C167" s="15">
        <v>10.64</v>
      </c>
      <c r="D167" s="15">
        <v>12.36</v>
      </c>
      <c r="E167" s="16"/>
      <c r="F167" s="16"/>
      <c r="G167" s="16"/>
      <c r="H167" s="16"/>
      <c r="I167" s="16"/>
    </row>
    <row r="168" spans="1:9" ht="20.149999999999999" customHeight="1">
      <c r="A168" s="13"/>
      <c r="B168" s="14"/>
      <c r="C168" s="15">
        <v>10.72</v>
      </c>
      <c r="D168" s="15">
        <v>12.35</v>
      </c>
      <c r="E168" s="16"/>
      <c r="F168" s="16"/>
      <c r="G168" s="16"/>
      <c r="H168" s="16"/>
      <c r="I168" s="16"/>
    </row>
    <row r="169" spans="1:9" ht="20.149999999999999" customHeight="1">
      <c r="A169" s="13"/>
      <c r="B169" s="14"/>
      <c r="C169" s="15">
        <v>10.8</v>
      </c>
      <c r="D169" s="15">
        <v>12.34</v>
      </c>
      <c r="E169" s="16"/>
      <c r="F169" s="16"/>
      <c r="G169" s="16"/>
      <c r="H169" s="16"/>
      <c r="I169" s="16"/>
    </row>
    <row r="170" spans="1:9" ht="20.149999999999999" customHeight="1">
      <c r="A170" s="13"/>
      <c r="B170" s="14"/>
      <c r="C170" s="15">
        <v>10.88</v>
      </c>
      <c r="D170" s="15">
        <v>12.33</v>
      </c>
      <c r="E170" s="16"/>
      <c r="F170" s="16"/>
      <c r="G170" s="16"/>
      <c r="H170" s="16"/>
      <c r="I170" s="16"/>
    </row>
    <row r="171" spans="1:9" ht="20.149999999999999" customHeight="1">
      <c r="A171" s="13"/>
      <c r="B171" s="14"/>
      <c r="C171" s="15">
        <v>10.93</v>
      </c>
      <c r="D171" s="15">
        <v>12.32</v>
      </c>
      <c r="E171" s="16"/>
      <c r="F171" s="16"/>
      <c r="G171" s="16"/>
      <c r="H171" s="16"/>
      <c r="I171" s="16"/>
    </row>
    <row r="172" spans="1:9" ht="20.149999999999999" customHeight="1">
      <c r="A172" s="13"/>
      <c r="B172" s="14"/>
      <c r="C172" s="15">
        <v>10.97</v>
      </c>
      <c r="D172" s="15">
        <v>12.31</v>
      </c>
      <c r="E172" s="16"/>
      <c r="F172" s="16"/>
      <c r="G172" s="16"/>
      <c r="H172" s="16"/>
      <c r="I172" s="16"/>
    </row>
    <row r="173" spans="1:9" ht="20.149999999999999" customHeight="1">
      <c r="A173" s="13"/>
      <c r="B173" s="14"/>
      <c r="C173" s="15">
        <v>10.99</v>
      </c>
      <c r="D173" s="15">
        <v>12.3</v>
      </c>
      <c r="E173" s="16"/>
      <c r="F173" s="16"/>
      <c r="G173" s="16"/>
      <c r="H173" s="16"/>
      <c r="I173" s="16"/>
    </row>
    <row r="174" spans="1:9" ht="20.149999999999999" customHeight="1">
      <c r="A174" s="13"/>
      <c r="B174" s="14"/>
      <c r="C174" s="15">
        <v>11.03</v>
      </c>
      <c r="D174" s="15">
        <v>12.29</v>
      </c>
      <c r="E174" s="16"/>
      <c r="F174" s="16"/>
      <c r="G174" s="16"/>
      <c r="H174" s="16"/>
      <c r="I174" s="16"/>
    </row>
    <row r="175" spans="1:9" ht="20.149999999999999" customHeight="1">
      <c r="A175" s="13"/>
      <c r="B175" s="14"/>
      <c r="C175" s="15">
        <v>11.05</v>
      </c>
      <c r="D175" s="15">
        <v>12.28</v>
      </c>
      <c r="E175" s="16"/>
      <c r="F175" s="16"/>
      <c r="G175" s="16"/>
      <c r="H175" s="16"/>
      <c r="I175" s="16"/>
    </row>
    <row r="176" spans="1:9" ht="20.149999999999999" customHeight="1">
      <c r="A176" s="13"/>
      <c r="B176" s="14"/>
      <c r="C176" s="15">
        <v>11.07</v>
      </c>
      <c r="D176" s="15">
        <v>12.27</v>
      </c>
      <c r="E176" s="16"/>
      <c r="F176" s="16"/>
      <c r="G176" s="16"/>
      <c r="H176" s="16"/>
      <c r="I176" s="16"/>
    </row>
    <row r="177" spans="1:9" ht="20.149999999999999" customHeight="1">
      <c r="A177" s="13"/>
      <c r="B177" s="14"/>
      <c r="C177" s="15">
        <v>11.09</v>
      </c>
      <c r="D177" s="15">
        <v>12.26</v>
      </c>
      <c r="E177" s="16"/>
      <c r="F177" s="16"/>
      <c r="G177" s="16"/>
      <c r="H177" s="16"/>
      <c r="I177" s="16"/>
    </row>
    <row r="178" spans="1:9" ht="20.149999999999999" customHeight="1">
      <c r="A178" s="13"/>
      <c r="B178" s="14"/>
      <c r="C178" s="15">
        <v>11.1</v>
      </c>
      <c r="D178" s="15">
        <v>12.25</v>
      </c>
      <c r="E178" s="16"/>
      <c r="F178" s="16"/>
      <c r="G178" s="16"/>
      <c r="H178" s="16"/>
      <c r="I178" s="16"/>
    </row>
    <row r="179" spans="1:9" ht="20.149999999999999" customHeight="1">
      <c r="A179" s="13"/>
      <c r="B179" s="14"/>
      <c r="C179" s="15">
        <v>11.12</v>
      </c>
      <c r="D179" s="15">
        <v>12.24</v>
      </c>
      <c r="E179" s="16"/>
      <c r="F179" s="16"/>
      <c r="G179" s="16"/>
      <c r="H179" s="16"/>
      <c r="I179" s="16"/>
    </row>
    <row r="180" spans="1:9" ht="20.149999999999999" customHeight="1">
      <c r="A180" s="13"/>
      <c r="B180" s="14"/>
      <c r="C180" s="15">
        <v>11.13</v>
      </c>
      <c r="D180" s="15">
        <v>12.23</v>
      </c>
      <c r="E180" s="16"/>
      <c r="F180" s="16"/>
      <c r="G180" s="16"/>
      <c r="H180" s="16"/>
      <c r="I180" s="16"/>
    </row>
    <row r="181" spans="1:9" ht="20.149999999999999" customHeight="1">
      <c r="A181" s="13"/>
      <c r="B181" s="14"/>
      <c r="C181" s="15">
        <v>11.14</v>
      </c>
      <c r="D181" s="15">
        <v>12.22</v>
      </c>
      <c r="E181" s="16"/>
      <c r="F181" s="16"/>
      <c r="G181" s="16"/>
      <c r="H181" s="16"/>
      <c r="I181" s="16"/>
    </row>
    <row r="182" spans="1:9" ht="20.149999999999999" customHeight="1">
      <c r="A182" s="13"/>
      <c r="B182" s="14"/>
      <c r="C182" s="15">
        <v>11.15</v>
      </c>
      <c r="D182" s="15">
        <v>12.21</v>
      </c>
      <c r="E182" s="16"/>
      <c r="F182" s="16"/>
      <c r="G182" s="16"/>
      <c r="H182" s="16"/>
      <c r="I182" s="16"/>
    </row>
    <row r="183" spans="1:9" ht="20.149999999999999" customHeight="1">
      <c r="A183" s="13"/>
      <c r="B183" s="14"/>
      <c r="C183" s="15">
        <v>11.17</v>
      </c>
      <c r="D183" s="15">
        <v>12.2</v>
      </c>
      <c r="E183" s="16"/>
      <c r="F183" s="16"/>
      <c r="G183" s="16"/>
      <c r="H183" s="16"/>
      <c r="I183" s="16"/>
    </row>
    <row r="184" spans="1:9" ht="20.149999999999999" customHeight="1">
      <c r="A184" s="13"/>
      <c r="B184" s="14"/>
      <c r="C184" s="15">
        <v>11.17</v>
      </c>
      <c r="D184" s="15">
        <v>12.19</v>
      </c>
      <c r="E184" s="16"/>
      <c r="F184" s="16"/>
      <c r="G184" s="16"/>
      <c r="H184" s="16"/>
      <c r="I184" s="16"/>
    </row>
    <row r="185" spans="1:9" ht="20.149999999999999" customHeight="1">
      <c r="A185" s="13"/>
      <c r="B185" s="14"/>
      <c r="C185" s="15">
        <v>11.19</v>
      </c>
      <c r="D185" s="15">
        <v>12.18</v>
      </c>
      <c r="E185" s="16"/>
      <c r="F185" s="16"/>
      <c r="G185" s="16"/>
      <c r="H185" s="16"/>
      <c r="I185" s="16"/>
    </row>
    <row r="186" spans="1:9" ht="20.149999999999999" customHeight="1">
      <c r="A186" s="13"/>
      <c r="B186" s="14"/>
      <c r="C186" s="15">
        <v>11.19</v>
      </c>
      <c r="D186" s="15">
        <v>12.17</v>
      </c>
      <c r="E186" s="16"/>
      <c r="F186" s="16"/>
      <c r="G186" s="16"/>
      <c r="H186" s="16"/>
      <c r="I186" s="16"/>
    </row>
    <row r="187" spans="1:9" ht="20.149999999999999" customHeight="1">
      <c r="A187" s="13"/>
      <c r="B187" s="14"/>
      <c r="C187" s="15">
        <v>11.21</v>
      </c>
      <c r="D187" s="15">
        <v>12.16</v>
      </c>
      <c r="E187" s="16"/>
      <c r="F187" s="16"/>
      <c r="G187" s="16"/>
      <c r="H187" s="16"/>
      <c r="I187" s="16"/>
    </row>
    <row r="188" spans="1:9" ht="20.149999999999999" customHeight="1">
      <c r="A188" s="13"/>
      <c r="B188" s="14"/>
      <c r="C188" s="15">
        <v>11.22</v>
      </c>
      <c r="D188" s="15">
        <v>12.15</v>
      </c>
      <c r="E188" s="16"/>
      <c r="F188" s="16"/>
      <c r="G188" s="16"/>
      <c r="H188" s="16"/>
      <c r="I188" s="16"/>
    </row>
    <row r="189" spans="1:9" ht="20.149999999999999" customHeight="1">
      <c r="A189" s="13"/>
      <c r="B189" s="14"/>
      <c r="C189" s="15">
        <v>11.22</v>
      </c>
      <c r="D189" s="15">
        <v>12.14</v>
      </c>
      <c r="E189" s="16"/>
      <c r="F189" s="16"/>
      <c r="G189" s="16"/>
      <c r="H189" s="16"/>
      <c r="I189" s="16"/>
    </row>
    <row r="190" spans="1:9" ht="20.149999999999999" customHeight="1">
      <c r="A190" s="13"/>
      <c r="B190" s="14"/>
      <c r="C190" s="15">
        <v>11.23</v>
      </c>
      <c r="D190" s="15">
        <v>12.13</v>
      </c>
      <c r="E190" s="16"/>
      <c r="F190" s="16"/>
      <c r="G190" s="16"/>
      <c r="H190" s="16"/>
      <c r="I190" s="16"/>
    </row>
    <row r="191" spans="1:9" ht="20.149999999999999" customHeight="1">
      <c r="A191" s="13"/>
      <c r="B191" s="14"/>
      <c r="C191" s="15">
        <v>11.24</v>
      </c>
      <c r="D191" s="15">
        <v>12.12</v>
      </c>
      <c r="E191" s="16"/>
      <c r="F191" s="16"/>
      <c r="G191" s="16"/>
      <c r="H191" s="16"/>
      <c r="I191" s="16"/>
    </row>
    <row r="192" spans="1:9" ht="20.149999999999999" customHeight="1">
      <c r="A192" s="13"/>
      <c r="B192" s="14"/>
      <c r="C192" s="15">
        <v>11.25</v>
      </c>
      <c r="D192" s="15">
        <v>12.11</v>
      </c>
      <c r="E192" s="16"/>
      <c r="F192" s="16"/>
      <c r="G192" s="16"/>
      <c r="H192" s="16"/>
      <c r="I192" s="16"/>
    </row>
    <row r="193" spans="1:9" ht="20.149999999999999" customHeight="1">
      <c r="A193" s="13"/>
      <c r="B193" s="14"/>
      <c r="C193" s="15">
        <v>11.26</v>
      </c>
      <c r="D193" s="15">
        <v>12.1</v>
      </c>
      <c r="E193" s="16"/>
      <c r="F193" s="16"/>
      <c r="G193" s="16"/>
      <c r="H193" s="16"/>
      <c r="I193" s="16"/>
    </row>
    <row r="194" spans="1:9" ht="20.149999999999999" customHeight="1">
      <c r="A194" s="13"/>
      <c r="B194" s="14"/>
      <c r="C194" s="15">
        <v>11.26</v>
      </c>
      <c r="D194" s="15">
        <v>12.09</v>
      </c>
      <c r="E194" s="16"/>
      <c r="F194" s="16"/>
      <c r="G194" s="16"/>
      <c r="H194" s="16"/>
      <c r="I194" s="16"/>
    </row>
    <row r="195" spans="1:9" ht="20.149999999999999" customHeight="1">
      <c r="A195" s="13"/>
      <c r="B195" s="14"/>
      <c r="C195" s="15">
        <v>11.27</v>
      </c>
      <c r="D195" s="15">
        <v>12.08</v>
      </c>
      <c r="E195" s="16"/>
      <c r="F195" s="16"/>
      <c r="G195" s="16"/>
      <c r="H195" s="16"/>
      <c r="I195" s="16"/>
    </row>
    <row r="196" spans="1:9" ht="20.149999999999999" customHeight="1">
      <c r="A196" s="13"/>
      <c r="B196" s="14"/>
      <c r="C196" s="15">
        <v>11.28</v>
      </c>
      <c r="D196" s="15">
        <v>12.07</v>
      </c>
      <c r="E196" s="16"/>
      <c r="F196" s="16"/>
      <c r="G196" s="16"/>
      <c r="H196" s="16"/>
      <c r="I196" s="16"/>
    </row>
    <row r="197" spans="1:9" ht="20.149999999999999" customHeight="1">
      <c r="A197" s="13"/>
      <c r="B197" s="14"/>
      <c r="C197" s="15">
        <v>11.28</v>
      </c>
      <c r="D197" s="15">
        <v>12.06</v>
      </c>
      <c r="E197" s="16"/>
      <c r="F197" s="16"/>
      <c r="G197" s="16"/>
      <c r="H197" s="16"/>
      <c r="I197" s="16"/>
    </row>
    <row r="198" spans="1:9" ht="20.149999999999999" customHeight="1">
      <c r="A198" s="13"/>
      <c r="B198" s="14"/>
      <c r="C198" s="15">
        <v>11.29</v>
      </c>
      <c r="D198" s="15">
        <v>12.05</v>
      </c>
      <c r="E198" s="16"/>
      <c r="F198" s="16"/>
      <c r="G198" s="16"/>
      <c r="H198" s="16"/>
      <c r="I198" s="16"/>
    </row>
    <row r="199" spans="1:9" ht="20.149999999999999" customHeight="1">
      <c r="A199" s="13"/>
      <c r="B199" s="14"/>
      <c r="C199" s="15">
        <v>11.3</v>
      </c>
      <c r="D199" s="15">
        <v>12.04</v>
      </c>
      <c r="E199" s="16"/>
      <c r="F199" s="16"/>
      <c r="G199" s="16"/>
      <c r="H199" s="16"/>
      <c r="I199" s="16"/>
    </row>
    <row r="200" spans="1:9" ht="20.149999999999999" customHeight="1">
      <c r="A200" s="13"/>
      <c r="B200" s="14"/>
      <c r="C200" s="15">
        <v>11.31</v>
      </c>
      <c r="D200" s="15">
        <v>12.03</v>
      </c>
      <c r="E200" s="16"/>
      <c r="F200" s="16"/>
      <c r="G200" s="16"/>
      <c r="H200" s="16"/>
      <c r="I200" s="16"/>
    </row>
    <row r="201" spans="1:9" ht="20.149999999999999" customHeight="1">
      <c r="A201" s="13"/>
      <c r="B201" s="14"/>
      <c r="C201" s="15">
        <v>11.32</v>
      </c>
      <c r="D201" s="15">
        <v>12.02</v>
      </c>
      <c r="E201" s="16"/>
      <c r="F201" s="16"/>
      <c r="G201" s="16"/>
      <c r="H201" s="16"/>
      <c r="I201" s="16"/>
    </row>
    <row r="202" spans="1:9" ht="20.149999999999999" customHeight="1">
      <c r="A202" s="13"/>
      <c r="B202" s="14"/>
      <c r="C202" s="15">
        <v>11.32</v>
      </c>
      <c r="D202" s="15">
        <v>12.01</v>
      </c>
      <c r="E202" s="16"/>
      <c r="F202" s="16"/>
      <c r="G202" s="16"/>
      <c r="H202" s="16"/>
      <c r="I202" s="16"/>
    </row>
    <row r="203" spans="1:9" ht="20.149999999999999" customHeight="1">
      <c r="A203" s="13"/>
      <c r="B203" s="14"/>
      <c r="C203" s="15">
        <v>11.32</v>
      </c>
      <c r="D203" s="15">
        <v>12</v>
      </c>
      <c r="E203" s="16"/>
      <c r="F203" s="16"/>
      <c r="G203" s="16"/>
      <c r="H203" s="16"/>
      <c r="I203" s="16"/>
    </row>
    <row r="204" spans="1:9" ht="20.149999999999999" customHeight="1">
      <c r="A204" s="13"/>
      <c r="B204" s="14"/>
      <c r="C204" s="16"/>
      <c r="D204" s="16"/>
      <c r="E204" s="16"/>
      <c r="F204" s="16"/>
      <c r="G204" s="16"/>
      <c r="H204" s="16"/>
      <c r="I204" s="16"/>
    </row>
    <row r="205" spans="1:9" ht="20.149999999999999" customHeight="1">
      <c r="A205" s="13"/>
      <c r="B205" s="14"/>
      <c r="C205" s="16"/>
      <c r="D205" s="16"/>
      <c r="E205" s="16"/>
      <c r="F205" s="16"/>
      <c r="G205" s="16"/>
      <c r="H205" s="16"/>
      <c r="I205" s="16"/>
    </row>
    <row r="206" spans="1:9" ht="20.149999999999999" customHeight="1">
      <c r="A206" s="13"/>
      <c r="B206" s="14"/>
      <c r="C206" s="16"/>
      <c r="D206" s="16"/>
      <c r="E206" s="16"/>
      <c r="F206" s="16"/>
      <c r="G206" s="16"/>
      <c r="H206" s="16"/>
      <c r="I206" s="16"/>
    </row>
    <row r="207" spans="1:9" ht="20.149999999999999" customHeight="1">
      <c r="A207" s="13"/>
      <c r="B207" s="14"/>
      <c r="C207" s="16"/>
      <c r="D207" s="16"/>
      <c r="E207" s="16"/>
      <c r="F207" s="16"/>
      <c r="G207" s="16"/>
      <c r="H207" s="16"/>
      <c r="I207" s="16"/>
    </row>
    <row r="208" spans="1:9" ht="20.149999999999999" customHeight="1">
      <c r="A208" s="13"/>
      <c r="B208" s="14"/>
      <c r="C208" s="16"/>
      <c r="D208" s="16"/>
      <c r="E208" s="16"/>
      <c r="F208" s="16"/>
      <c r="G208" s="16"/>
      <c r="H208" s="16"/>
      <c r="I208" s="16"/>
    </row>
    <row r="209" spans="1:9" ht="20.149999999999999" customHeight="1">
      <c r="A209" s="13"/>
      <c r="B209" s="14"/>
      <c r="C209" s="16"/>
      <c r="D209" s="16"/>
      <c r="E209" s="16"/>
      <c r="F209" s="16"/>
      <c r="G209" s="16"/>
      <c r="H209" s="16"/>
      <c r="I209" s="16"/>
    </row>
    <row r="210" spans="1:9" ht="20.149999999999999" customHeight="1">
      <c r="A210" s="13"/>
      <c r="B210" s="14"/>
      <c r="C210" s="16"/>
      <c r="D210" s="16"/>
      <c r="E210" s="16"/>
      <c r="F210" s="16"/>
      <c r="G210" s="16"/>
      <c r="H210" s="16"/>
      <c r="I210" s="16"/>
    </row>
    <row r="211" spans="1:9" ht="20.149999999999999" customHeight="1">
      <c r="A211" s="13"/>
      <c r="B211" s="14"/>
      <c r="C211" s="16"/>
      <c r="D211" s="16"/>
      <c r="E211" s="16"/>
      <c r="F211" s="16"/>
      <c r="G211" s="16"/>
      <c r="H211" s="16"/>
      <c r="I211" s="16"/>
    </row>
    <row r="212" spans="1:9" ht="20.149999999999999" customHeight="1">
      <c r="A212" s="13"/>
      <c r="B212" s="14"/>
      <c r="C212" s="16"/>
      <c r="D212" s="16"/>
      <c r="E212" s="16"/>
      <c r="F212" s="16"/>
      <c r="G212" s="16"/>
      <c r="H212" s="16"/>
      <c r="I212" s="16"/>
    </row>
    <row r="213" spans="1:9" ht="20.149999999999999" customHeight="1">
      <c r="A213" s="13"/>
      <c r="B213" s="14"/>
      <c r="C213" s="16"/>
      <c r="D213" s="16"/>
      <c r="E213" s="16"/>
      <c r="F213" s="16"/>
      <c r="G213" s="16"/>
      <c r="H213" s="16"/>
      <c r="I213" s="16"/>
    </row>
    <row r="214" spans="1:9" ht="20.149999999999999" customHeight="1">
      <c r="A214" s="13"/>
      <c r="B214" s="14"/>
      <c r="C214" s="16"/>
      <c r="D214" s="16"/>
      <c r="E214" s="16"/>
      <c r="F214" s="16"/>
      <c r="G214" s="16"/>
      <c r="H214" s="16"/>
      <c r="I214" s="16"/>
    </row>
    <row r="215" spans="1:9" ht="20.149999999999999" customHeight="1">
      <c r="A215" s="13"/>
      <c r="B215" s="14"/>
      <c r="C215" s="16"/>
      <c r="D215" s="16"/>
      <c r="E215" s="16"/>
      <c r="F215" s="16"/>
      <c r="G215" s="16"/>
      <c r="H215" s="16"/>
      <c r="I215" s="16"/>
    </row>
    <row r="216" spans="1:9" ht="20.149999999999999" customHeight="1">
      <c r="A216" s="13"/>
      <c r="B216" s="14"/>
      <c r="C216" s="16"/>
      <c r="D216" s="16"/>
      <c r="E216" s="16"/>
      <c r="F216" s="16"/>
      <c r="G216" s="16"/>
      <c r="H216" s="16"/>
      <c r="I216" s="16"/>
    </row>
    <row r="217" spans="1:9" ht="20.149999999999999" customHeight="1">
      <c r="A217" s="13"/>
      <c r="B217" s="14"/>
      <c r="C217" s="16"/>
      <c r="D217" s="16"/>
      <c r="E217" s="16"/>
      <c r="F217" s="16"/>
      <c r="G217" s="16"/>
      <c r="H217" s="16"/>
      <c r="I217" s="16"/>
    </row>
    <row r="218" spans="1:9" ht="20.149999999999999" customHeight="1">
      <c r="A218" s="13"/>
      <c r="B218" s="14"/>
      <c r="C218" s="16"/>
      <c r="D218" s="16"/>
      <c r="E218" s="16"/>
      <c r="F218" s="16"/>
      <c r="G218" s="16"/>
      <c r="H218" s="16"/>
      <c r="I218" s="16"/>
    </row>
    <row r="219" spans="1:9" ht="20.149999999999999" customHeight="1">
      <c r="A219" s="13"/>
      <c r="B219" s="14"/>
      <c r="C219" s="16"/>
      <c r="D219" s="16"/>
      <c r="E219" s="16"/>
      <c r="F219" s="16"/>
      <c r="G219" s="16"/>
      <c r="H219" s="16"/>
      <c r="I219" s="16"/>
    </row>
    <row r="220" spans="1:9" ht="20.149999999999999" customHeight="1">
      <c r="A220" s="13"/>
      <c r="B220" s="14"/>
      <c r="C220" s="16"/>
      <c r="D220" s="16"/>
      <c r="E220" s="16"/>
      <c r="F220" s="16"/>
      <c r="G220" s="16"/>
      <c r="H220" s="16"/>
      <c r="I220" s="16"/>
    </row>
    <row r="221" spans="1:9" ht="20.149999999999999" customHeight="1">
      <c r="A221" s="13"/>
      <c r="B221" s="14"/>
      <c r="C221" s="16"/>
      <c r="D221" s="16"/>
      <c r="E221" s="16"/>
      <c r="F221" s="16"/>
      <c r="G221" s="16"/>
      <c r="H221" s="16"/>
      <c r="I221" s="16"/>
    </row>
    <row r="222" spans="1:9" ht="20.149999999999999" customHeight="1">
      <c r="A222" s="13"/>
      <c r="B222" s="14"/>
      <c r="C222" s="16"/>
      <c r="D222" s="16"/>
      <c r="E222" s="16"/>
      <c r="F222" s="16"/>
      <c r="G222" s="16"/>
      <c r="H222" s="16"/>
      <c r="I222" s="16"/>
    </row>
    <row r="223" spans="1:9" ht="20.149999999999999" customHeight="1">
      <c r="A223" s="13"/>
      <c r="B223" s="14"/>
      <c r="C223" s="16"/>
      <c r="D223" s="16"/>
      <c r="E223" s="16"/>
      <c r="F223" s="16"/>
      <c r="G223" s="16"/>
      <c r="H223" s="16"/>
      <c r="I223" s="16"/>
    </row>
    <row r="224" spans="1:9" ht="20.149999999999999" customHeight="1">
      <c r="A224" s="13"/>
      <c r="B224" s="14"/>
      <c r="C224" s="16"/>
      <c r="D224" s="16"/>
      <c r="E224" s="16"/>
      <c r="F224" s="16"/>
      <c r="G224" s="16"/>
      <c r="H224" s="16"/>
      <c r="I224" s="16"/>
    </row>
    <row r="225" spans="1:9" ht="20.149999999999999" customHeight="1">
      <c r="A225" s="13"/>
      <c r="B225" s="14"/>
      <c r="C225" s="16"/>
      <c r="D225" s="16"/>
      <c r="E225" s="16"/>
      <c r="F225" s="16"/>
      <c r="G225" s="16"/>
      <c r="H225" s="16"/>
      <c r="I225" s="16"/>
    </row>
    <row r="226" spans="1:9" ht="20.149999999999999" customHeight="1">
      <c r="A226" s="13"/>
      <c r="B226" s="14"/>
      <c r="C226" s="16"/>
      <c r="D226" s="16"/>
      <c r="E226" s="16"/>
      <c r="F226" s="16"/>
      <c r="G226" s="16"/>
      <c r="H226" s="16"/>
      <c r="I226" s="16"/>
    </row>
    <row r="227" spans="1:9" ht="20.149999999999999" customHeight="1">
      <c r="A227" s="13"/>
      <c r="B227" s="14"/>
      <c r="C227" s="16"/>
      <c r="D227" s="16"/>
      <c r="E227" s="16"/>
      <c r="F227" s="16"/>
      <c r="G227" s="16"/>
      <c r="H227" s="16"/>
      <c r="I227" s="16"/>
    </row>
    <row r="228" spans="1:9" ht="20.149999999999999" customHeight="1">
      <c r="A228" s="13"/>
      <c r="B228" s="14"/>
      <c r="C228" s="16"/>
      <c r="D228" s="16"/>
      <c r="E228" s="16"/>
      <c r="F228" s="16"/>
      <c r="G228" s="16"/>
      <c r="H228" s="16"/>
      <c r="I228" s="16"/>
    </row>
    <row r="229" spans="1:9" ht="20.149999999999999" customHeight="1">
      <c r="A229" s="13"/>
      <c r="B229" s="14"/>
      <c r="C229" s="16"/>
      <c r="D229" s="16"/>
      <c r="E229" s="16"/>
      <c r="F229" s="16"/>
      <c r="G229" s="16"/>
      <c r="H229" s="16"/>
      <c r="I229" s="16"/>
    </row>
    <row r="230" spans="1:9" ht="20.149999999999999" customHeight="1">
      <c r="A230" s="13"/>
      <c r="B230" s="14"/>
      <c r="C230" s="16"/>
      <c r="D230" s="16"/>
      <c r="E230" s="16"/>
      <c r="F230" s="16"/>
      <c r="G230" s="16"/>
      <c r="H230" s="16"/>
      <c r="I230" s="16"/>
    </row>
    <row r="231" spans="1:9" ht="20.149999999999999" customHeight="1">
      <c r="A231" s="13"/>
      <c r="B231" s="14"/>
      <c r="C231" s="16"/>
      <c r="D231" s="16"/>
      <c r="E231" s="16"/>
      <c r="F231" s="16"/>
      <c r="G231" s="16"/>
      <c r="H231" s="16"/>
      <c r="I231" s="16"/>
    </row>
    <row r="232" spans="1:9" ht="20.149999999999999" customHeight="1">
      <c r="A232" s="13"/>
      <c r="B232" s="14"/>
      <c r="C232" s="16"/>
      <c r="D232" s="16"/>
      <c r="E232" s="16"/>
      <c r="F232" s="16"/>
      <c r="G232" s="16"/>
      <c r="H232" s="16"/>
      <c r="I232" s="16"/>
    </row>
    <row r="233" spans="1:9" ht="20.149999999999999" customHeight="1">
      <c r="A233" s="13"/>
      <c r="B233" s="14"/>
      <c r="C233" s="16"/>
      <c r="D233" s="16"/>
      <c r="E233" s="16"/>
      <c r="F233" s="16"/>
      <c r="G233" s="16"/>
      <c r="H233" s="16"/>
      <c r="I233" s="16"/>
    </row>
    <row r="234" spans="1:9" ht="20.149999999999999" customHeight="1">
      <c r="A234" s="13"/>
      <c r="B234" s="14"/>
      <c r="C234" s="16"/>
      <c r="D234" s="16"/>
      <c r="E234" s="16"/>
      <c r="F234" s="16"/>
      <c r="G234" s="16"/>
      <c r="H234" s="16"/>
      <c r="I234" s="16"/>
    </row>
    <row r="235" spans="1:9" ht="20.149999999999999" customHeight="1">
      <c r="A235" s="13"/>
      <c r="B235" s="14"/>
      <c r="C235" s="16"/>
      <c r="D235" s="16"/>
      <c r="E235" s="16"/>
      <c r="F235" s="16"/>
      <c r="G235" s="16"/>
      <c r="H235" s="16"/>
      <c r="I235" s="16"/>
    </row>
    <row r="236" spans="1:9" ht="20.149999999999999" customHeight="1">
      <c r="A236" s="13"/>
      <c r="B236" s="14"/>
      <c r="C236" s="16"/>
      <c r="D236" s="16"/>
      <c r="E236" s="16"/>
      <c r="F236" s="16"/>
      <c r="G236" s="16"/>
      <c r="H236" s="16"/>
      <c r="I236" s="16"/>
    </row>
    <row r="237" spans="1:9" ht="20.149999999999999" customHeight="1">
      <c r="A237" s="13"/>
      <c r="B237" s="14"/>
      <c r="C237" s="16"/>
      <c r="D237" s="16"/>
      <c r="E237" s="16"/>
      <c r="F237" s="16"/>
      <c r="G237" s="16"/>
      <c r="H237" s="16"/>
      <c r="I237" s="16"/>
    </row>
    <row r="238" spans="1:9" ht="20.149999999999999" customHeight="1">
      <c r="A238" s="13"/>
      <c r="B238" s="14"/>
      <c r="C238" s="16"/>
      <c r="D238" s="16"/>
      <c r="E238" s="16"/>
      <c r="F238" s="16"/>
      <c r="G238" s="16"/>
      <c r="H238" s="16"/>
      <c r="I238" s="16"/>
    </row>
    <row r="239" spans="1:9" ht="20.149999999999999" customHeight="1">
      <c r="A239" s="13"/>
      <c r="B239" s="14"/>
      <c r="C239" s="16"/>
      <c r="D239" s="16"/>
      <c r="E239" s="16"/>
      <c r="F239" s="16"/>
      <c r="G239" s="16"/>
      <c r="H239" s="16"/>
      <c r="I239" s="16"/>
    </row>
    <row r="240" spans="1:9" ht="20.149999999999999" customHeight="1">
      <c r="A240" s="13"/>
      <c r="B240" s="14"/>
      <c r="C240" s="16"/>
      <c r="D240" s="16"/>
      <c r="E240" s="16"/>
      <c r="F240" s="16"/>
      <c r="G240" s="16"/>
      <c r="H240" s="16"/>
      <c r="I240" s="16"/>
    </row>
    <row r="241" spans="1:9" ht="20.149999999999999" customHeight="1">
      <c r="A241" s="13"/>
      <c r="B241" s="14"/>
      <c r="C241" s="16"/>
      <c r="D241" s="16"/>
      <c r="E241" s="16"/>
      <c r="F241" s="16"/>
      <c r="G241" s="16"/>
      <c r="H241" s="16"/>
      <c r="I241" s="16"/>
    </row>
    <row r="242" spans="1:9" ht="20.149999999999999" customHeight="1">
      <c r="A242" s="13"/>
      <c r="B242" s="14"/>
      <c r="C242" s="16"/>
      <c r="D242" s="16"/>
      <c r="E242" s="16"/>
      <c r="F242" s="16"/>
      <c r="G242" s="16"/>
      <c r="H242" s="16"/>
      <c r="I242" s="16"/>
    </row>
    <row r="243" spans="1:9" ht="20.149999999999999" customHeight="1">
      <c r="A243" s="13"/>
      <c r="B243" s="14"/>
      <c r="C243" s="16"/>
      <c r="D243" s="16"/>
      <c r="E243" s="16"/>
      <c r="F243" s="16"/>
      <c r="G243" s="16"/>
      <c r="H243" s="16"/>
      <c r="I243" s="16"/>
    </row>
    <row r="244" spans="1:9" ht="20.149999999999999" customHeight="1">
      <c r="A244" s="13"/>
      <c r="B244" s="14"/>
      <c r="C244" s="16"/>
      <c r="D244" s="16"/>
      <c r="E244" s="16"/>
      <c r="F244" s="16"/>
      <c r="G244" s="16"/>
      <c r="H244" s="16"/>
      <c r="I244" s="16"/>
    </row>
    <row r="245" spans="1:9" ht="20.149999999999999" customHeight="1">
      <c r="A245" s="13"/>
      <c r="B245" s="14"/>
      <c r="C245" s="16"/>
      <c r="D245" s="16"/>
      <c r="E245" s="16"/>
      <c r="F245" s="16"/>
      <c r="G245" s="16"/>
      <c r="H245" s="16"/>
      <c r="I245" s="16"/>
    </row>
    <row r="246" spans="1:9" ht="20.149999999999999" customHeight="1">
      <c r="A246" s="13"/>
      <c r="B246" s="14"/>
      <c r="C246" s="16"/>
      <c r="D246" s="16"/>
      <c r="E246" s="16"/>
      <c r="F246" s="16"/>
      <c r="G246" s="16"/>
      <c r="H246" s="16"/>
      <c r="I246" s="16"/>
    </row>
    <row r="247" spans="1:9" ht="20.149999999999999" customHeight="1">
      <c r="A247" s="13"/>
      <c r="B247" s="14"/>
      <c r="C247" s="16"/>
      <c r="D247" s="16"/>
      <c r="E247" s="16"/>
      <c r="F247" s="16"/>
      <c r="G247" s="16"/>
      <c r="H247" s="16"/>
      <c r="I247" s="16"/>
    </row>
    <row r="248" spans="1:9" ht="20.149999999999999" customHeight="1">
      <c r="A248" s="13"/>
      <c r="B248" s="14"/>
      <c r="C248" s="16"/>
      <c r="D248" s="16"/>
      <c r="E248" s="16"/>
      <c r="F248" s="16"/>
      <c r="G248" s="16"/>
      <c r="H248" s="16"/>
      <c r="I248" s="16"/>
    </row>
    <row r="249" spans="1:9" ht="20.149999999999999" customHeight="1">
      <c r="A249" s="13"/>
      <c r="B249" s="14"/>
      <c r="C249" s="16"/>
      <c r="D249" s="16"/>
      <c r="E249" s="16"/>
      <c r="F249" s="16"/>
      <c r="G249" s="16"/>
      <c r="H249" s="16"/>
      <c r="I249" s="16"/>
    </row>
    <row r="250" spans="1:9" ht="20.149999999999999" customHeight="1">
      <c r="A250" s="13"/>
      <c r="B250" s="14"/>
      <c r="C250" s="16"/>
      <c r="D250" s="16"/>
      <c r="E250" s="16"/>
      <c r="F250" s="16"/>
      <c r="G250" s="16"/>
      <c r="H250" s="16"/>
      <c r="I250" s="16"/>
    </row>
    <row r="251" spans="1:9" ht="20.149999999999999" customHeight="1">
      <c r="A251" s="13"/>
      <c r="B251" s="14"/>
      <c r="C251" s="16"/>
      <c r="D251" s="16"/>
      <c r="E251" s="16"/>
      <c r="F251" s="16"/>
      <c r="G251" s="16"/>
      <c r="H251" s="16"/>
      <c r="I251" s="16"/>
    </row>
    <row r="252" spans="1:9" ht="20.149999999999999" customHeight="1">
      <c r="A252" s="13"/>
      <c r="B252" s="14"/>
      <c r="C252" s="16"/>
      <c r="D252" s="16"/>
      <c r="E252" s="16"/>
      <c r="F252" s="16"/>
      <c r="G252" s="16"/>
      <c r="H252" s="16"/>
      <c r="I252" s="16"/>
    </row>
    <row r="253" spans="1:9" ht="20.149999999999999" customHeight="1">
      <c r="A253" s="13"/>
      <c r="B253" s="14"/>
      <c r="C253" s="16"/>
      <c r="D253" s="16"/>
      <c r="E253" s="16"/>
      <c r="F253" s="16"/>
      <c r="G253" s="16"/>
      <c r="H253" s="16"/>
      <c r="I253" s="16"/>
    </row>
    <row r="254" spans="1:9" ht="20.149999999999999" customHeight="1">
      <c r="A254" s="13"/>
      <c r="B254" s="14"/>
      <c r="C254" s="16"/>
      <c r="D254" s="16"/>
      <c r="E254" s="16"/>
      <c r="F254" s="16"/>
      <c r="G254" s="16"/>
      <c r="H254" s="16"/>
      <c r="I254" s="16"/>
    </row>
    <row r="255" spans="1:9" ht="20.149999999999999" customHeight="1">
      <c r="A255" s="13"/>
      <c r="B255" s="14"/>
      <c r="C255" s="16"/>
      <c r="D255" s="16"/>
      <c r="E255" s="16"/>
      <c r="F255" s="16"/>
      <c r="G255" s="16"/>
      <c r="H255" s="16"/>
      <c r="I255" s="16"/>
    </row>
    <row r="256" spans="1:9" ht="20.149999999999999" customHeight="1">
      <c r="A256" s="13"/>
      <c r="B256" s="14"/>
      <c r="C256" s="16"/>
      <c r="D256" s="16"/>
      <c r="E256" s="16"/>
      <c r="F256" s="16"/>
      <c r="G256" s="16"/>
      <c r="H256" s="16"/>
      <c r="I256" s="16"/>
    </row>
    <row r="257" spans="1:9" ht="20.149999999999999" customHeight="1">
      <c r="A257" s="13"/>
      <c r="B257" s="14"/>
      <c r="C257" s="16"/>
      <c r="D257" s="16"/>
      <c r="E257" s="16"/>
      <c r="F257" s="16"/>
      <c r="G257" s="16"/>
      <c r="H257" s="16"/>
      <c r="I257" s="16"/>
    </row>
    <row r="258" spans="1:9" ht="20.149999999999999" customHeight="1">
      <c r="A258" s="13"/>
      <c r="B258" s="14"/>
      <c r="C258" s="16"/>
      <c r="D258" s="16"/>
      <c r="E258" s="16"/>
      <c r="F258" s="16"/>
      <c r="G258" s="16"/>
      <c r="H258" s="16"/>
      <c r="I258" s="16"/>
    </row>
    <row r="259" spans="1:9" ht="20.149999999999999" customHeight="1">
      <c r="A259" s="13"/>
      <c r="B259" s="14"/>
      <c r="C259" s="16"/>
      <c r="D259" s="16"/>
      <c r="E259" s="16"/>
      <c r="F259" s="16"/>
      <c r="G259" s="16"/>
      <c r="H259" s="16"/>
      <c r="I259" s="16"/>
    </row>
    <row r="260" spans="1:9" ht="20.149999999999999" customHeight="1">
      <c r="A260" s="13"/>
      <c r="B260" s="14"/>
      <c r="C260" s="16"/>
      <c r="D260" s="16"/>
      <c r="E260" s="16"/>
      <c r="F260" s="16"/>
      <c r="G260" s="16"/>
      <c r="H260" s="16"/>
      <c r="I260" s="16"/>
    </row>
    <row r="261" spans="1:9" ht="20.149999999999999" customHeight="1">
      <c r="A261" s="13"/>
      <c r="B261" s="14"/>
      <c r="C261" s="16"/>
      <c r="D261" s="16"/>
      <c r="E261" s="16"/>
      <c r="F261" s="16"/>
      <c r="G261" s="16"/>
      <c r="H261" s="16"/>
      <c r="I261" s="16"/>
    </row>
    <row r="262" spans="1:9" ht="20.149999999999999" customHeight="1">
      <c r="A262" s="13"/>
      <c r="B262" s="14"/>
      <c r="C262" s="16"/>
      <c r="D262" s="16"/>
      <c r="E262" s="16"/>
      <c r="F262" s="16"/>
      <c r="G262" s="16"/>
      <c r="H262" s="16"/>
      <c r="I262" s="16"/>
    </row>
    <row r="263" spans="1:9" ht="20.149999999999999" customHeight="1">
      <c r="A263" s="13"/>
      <c r="B263" s="14"/>
      <c r="C263" s="16"/>
      <c r="D263" s="16"/>
      <c r="E263" s="16"/>
      <c r="F263" s="16"/>
      <c r="G263" s="16"/>
      <c r="H263" s="16"/>
      <c r="I263" s="16"/>
    </row>
  </sheetData>
  <mergeCells count="1">
    <mergeCell ref="A1:I1"/>
  </mergeCells>
  <pageMargins left="0.5" right="0.5" top="0.75" bottom="0.75" header="0.27777800000000002" footer="0.27777800000000002"/>
  <pageSetup scale="72"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dimension ref="A1:G263"/>
  <sheetViews>
    <sheetView showGridLines="0" workbookViewId="0">
      <pane xSplit="1" ySplit="2" topLeftCell="B18" activePane="bottomRight" state="frozen"/>
      <selection pane="topRight"/>
      <selection pane="bottomLeft"/>
      <selection pane="bottomRight" activeCell="M25" sqref="M25"/>
    </sheetView>
  </sheetViews>
  <sheetFormatPr defaultColWidth="16.26953125" defaultRowHeight="19.899999999999999" customHeight="1"/>
  <cols>
    <col min="1" max="8" width="16.26953125" style="19" customWidth="1"/>
    <col min="9" max="16384" width="16.26953125" style="19"/>
  </cols>
  <sheetData>
    <row r="1" spans="1:7" ht="27.75" customHeight="1">
      <c r="A1" s="48" t="s">
        <v>5</v>
      </c>
      <c r="B1" s="48"/>
      <c r="C1" s="48"/>
      <c r="D1" s="48"/>
      <c r="E1" s="48"/>
      <c r="F1" s="48"/>
      <c r="G1" s="48"/>
    </row>
    <row r="2" spans="1:7" ht="20.65" customHeight="1">
      <c r="A2" s="6"/>
      <c r="B2" s="6"/>
      <c r="C2" s="7" t="s">
        <v>14</v>
      </c>
      <c r="D2" s="7" t="s">
        <v>8</v>
      </c>
      <c r="E2" s="8" t="s">
        <v>14</v>
      </c>
      <c r="F2" s="8" t="s">
        <v>8</v>
      </c>
      <c r="G2" s="6"/>
    </row>
    <row r="3" spans="1:7" ht="20.25" customHeight="1">
      <c r="A3" s="9"/>
      <c r="B3" s="10"/>
      <c r="C3" s="11">
        <v>3.3220000000000001</v>
      </c>
      <c r="D3" s="11">
        <v>13.01</v>
      </c>
      <c r="E3" s="11">
        <v>7.3999999999999996E-2</v>
      </c>
      <c r="F3" s="11">
        <v>12.94</v>
      </c>
      <c r="G3" s="11" cm="1">
        <f t="array" ref="G3">C3+3.32</f>
        <v>6.6419999999999995</v>
      </c>
    </row>
    <row r="4" spans="1:7" ht="20.149999999999999" customHeight="1">
      <c r="A4" s="13"/>
      <c r="B4" s="14"/>
      <c r="C4" s="15">
        <v>3.323</v>
      </c>
      <c r="D4" s="15">
        <v>13</v>
      </c>
      <c r="E4" s="15">
        <v>0.84799999999999998</v>
      </c>
      <c r="F4" s="15">
        <v>12.93</v>
      </c>
      <c r="G4" s="15" cm="1">
        <f t="array" ref="G4">C4+3.32</f>
        <v>6.6429999999999998</v>
      </c>
    </row>
    <row r="5" spans="1:7" ht="20.149999999999999" customHeight="1">
      <c r="A5" s="13"/>
      <c r="B5" s="14"/>
      <c r="C5" s="15">
        <v>3.3250000000000002</v>
      </c>
      <c r="D5" s="15">
        <v>12.99</v>
      </c>
      <c r="E5" s="15">
        <v>1.764</v>
      </c>
      <c r="F5" s="15">
        <v>12.92</v>
      </c>
      <c r="G5" s="15" cm="1">
        <f t="array" ref="G5">C5+3.32</f>
        <v>6.6449999999999996</v>
      </c>
    </row>
    <row r="6" spans="1:7" ht="20.149999999999999" customHeight="1">
      <c r="A6" s="13"/>
      <c r="B6" s="14"/>
      <c r="C6" s="15">
        <v>3.3279999999999998</v>
      </c>
      <c r="D6" s="15">
        <v>12.98</v>
      </c>
      <c r="E6" s="15">
        <v>2.3780000000000001</v>
      </c>
      <c r="F6" s="15">
        <v>12.91</v>
      </c>
      <c r="G6" s="15" cm="1">
        <f t="array" ref="G6">C6+3.32</f>
        <v>6.6479999999999997</v>
      </c>
    </row>
    <row r="7" spans="1:7" ht="20.149999999999999" customHeight="1">
      <c r="A7" s="13"/>
      <c r="B7" s="14"/>
      <c r="C7" s="15">
        <v>3.331</v>
      </c>
      <c r="D7" s="15">
        <v>12.97</v>
      </c>
      <c r="E7" s="15">
        <v>2.7759999999999998</v>
      </c>
      <c r="F7" s="15">
        <v>12.9</v>
      </c>
      <c r="G7" s="15" cm="1">
        <f t="array" ref="G7">C7+3.32</f>
        <v>6.6509999999999998</v>
      </c>
    </row>
    <row r="8" spans="1:7" ht="20.149999999999999" customHeight="1">
      <c r="A8" s="13"/>
      <c r="B8" s="14"/>
      <c r="C8" s="15">
        <v>3.3370000000000002</v>
      </c>
      <c r="D8" s="15">
        <v>12.96</v>
      </c>
      <c r="E8" s="15">
        <v>3.0670000000000002</v>
      </c>
      <c r="F8" s="15">
        <v>12.89</v>
      </c>
      <c r="G8" s="15" cm="1">
        <f t="array" ref="G8">C8+3.32</f>
        <v>6.657</v>
      </c>
    </row>
    <row r="9" spans="1:7" ht="20.149999999999999" customHeight="1">
      <c r="A9" s="13"/>
      <c r="B9" s="14"/>
      <c r="C9" s="15">
        <v>3.3410000000000002</v>
      </c>
      <c r="D9" s="15">
        <v>12.95</v>
      </c>
      <c r="E9" s="15">
        <v>3.29</v>
      </c>
      <c r="F9" s="15">
        <v>12.88</v>
      </c>
      <c r="G9" s="15" cm="1">
        <f t="array" ref="G9">C9+3.32</f>
        <v>6.6609999999999996</v>
      </c>
    </row>
    <row r="10" spans="1:7" ht="20.149999999999999" customHeight="1">
      <c r="A10" s="13"/>
      <c r="B10" s="14"/>
      <c r="C10" s="15">
        <v>3.3490000000000002</v>
      </c>
      <c r="D10" s="15">
        <v>12.94</v>
      </c>
      <c r="E10" s="15">
        <v>3.4529999999999998</v>
      </c>
      <c r="F10" s="15">
        <v>12.87</v>
      </c>
      <c r="G10" s="15" cm="1">
        <f t="array" ref="G10">C10+3.32</f>
        <v>6.6690000000000005</v>
      </c>
    </row>
    <row r="11" spans="1:7" ht="20.149999999999999" customHeight="1">
      <c r="A11" s="13"/>
      <c r="B11" s="14"/>
      <c r="C11" s="15">
        <v>3.3730000000000002</v>
      </c>
      <c r="D11" s="15">
        <v>12.93</v>
      </c>
      <c r="E11" s="15">
        <v>3.5720000000000001</v>
      </c>
      <c r="F11" s="15">
        <v>12.86</v>
      </c>
      <c r="G11" s="15" cm="1">
        <f t="array" ref="G11">C11+3.32</f>
        <v>6.6929999999999996</v>
      </c>
    </row>
    <row r="12" spans="1:7" ht="20.149999999999999" customHeight="1">
      <c r="A12" s="13"/>
      <c r="B12" s="14"/>
      <c r="C12" s="15">
        <v>3.7040000000000002</v>
      </c>
      <c r="D12" s="15">
        <v>12.92</v>
      </c>
      <c r="E12" s="15">
        <v>3.718</v>
      </c>
      <c r="F12" s="15">
        <v>12.85</v>
      </c>
      <c r="G12" s="15" cm="1">
        <f t="array" ref="G12">C12+3.32</f>
        <v>7.024</v>
      </c>
    </row>
    <row r="13" spans="1:7" ht="20.149999999999999" customHeight="1">
      <c r="A13" s="13"/>
      <c r="B13" s="14"/>
      <c r="C13" s="15">
        <v>3.8039999999999998</v>
      </c>
      <c r="D13" s="15">
        <v>12.91</v>
      </c>
      <c r="E13" s="15">
        <v>3.7949999999999999</v>
      </c>
      <c r="F13" s="15">
        <v>12.84</v>
      </c>
      <c r="G13" s="15" cm="1">
        <f t="array" ref="G13">C13+3.32</f>
        <v>7.1239999999999997</v>
      </c>
    </row>
    <row r="14" spans="1:7" ht="20.149999999999999" customHeight="1">
      <c r="A14" s="13"/>
      <c r="B14" s="14"/>
      <c r="C14" s="15">
        <v>3.8570000000000002</v>
      </c>
      <c r="D14" s="15">
        <v>12.9</v>
      </c>
      <c r="E14" s="15">
        <v>3.9409999999999998</v>
      </c>
      <c r="F14" s="15">
        <v>12.83</v>
      </c>
      <c r="G14" s="15" cm="1">
        <f t="array" ref="G14">C14+3.32</f>
        <v>7.1769999999999996</v>
      </c>
    </row>
    <row r="15" spans="1:7" ht="20.149999999999999" customHeight="1">
      <c r="A15" s="13"/>
      <c r="B15" s="14"/>
      <c r="C15" s="15">
        <v>3.9140000000000001</v>
      </c>
      <c r="D15" s="15">
        <v>12.89</v>
      </c>
      <c r="E15" s="15">
        <v>4.0030000000000001</v>
      </c>
      <c r="F15" s="15">
        <v>12.82</v>
      </c>
      <c r="G15" s="15" cm="1">
        <f t="array" ref="G15">C15+3.32</f>
        <v>7.234</v>
      </c>
    </row>
    <row r="16" spans="1:7" ht="20.149999999999999" customHeight="1">
      <c r="A16" s="13"/>
      <c r="B16" s="14"/>
      <c r="C16" s="15">
        <v>3.9529999999999998</v>
      </c>
      <c r="D16" s="15">
        <v>12.88</v>
      </c>
      <c r="E16" s="15">
        <v>4.1340000000000003</v>
      </c>
      <c r="F16" s="15">
        <v>12.81</v>
      </c>
      <c r="G16" s="15" cm="1">
        <f t="array" ref="G16">C16+3.32</f>
        <v>7.2729999999999997</v>
      </c>
    </row>
    <row r="17" spans="1:7" ht="20.149999999999999" customHeight="1">
      <c r="A17" s="13"/>
      <c r="B17" s="14"/>
      <c r="C17" s="15">
        <v>4.0119999999999996</v>
      </c>
      <c r="D17" s="15">
        <v>12.87</v>
      </c>
      <c r="E17" s="15">
        <v>4.2640000000000002</v>
      </c>
      <c r="F17" s="15">
        <v>12.8</v>
      </c>
      <c r="G17" s="15" cm="1">
        <f t="array" ref="G17">C17+3.32</f>
        <v>7.331999999999999</v>
      </c>
    </row>
    <row r="18" spans="1:7" ht="20.149999999999999" customHeight="1">
      <c r="A18" s="13"/>
      <c r="B18" s="14"/>
      <c r="C18" s="15">
        <v>4.0439999999999996</v>
      </c>
      <c r="D18" s="15">
        <v>12.86</v>
      </c>
      <c r="E18" s="15">
        <v>4.4669999999999996</v>
      </c>
      <c r="F18" s="15">
        <v>12.79</v>
      </c>
      <c r="G18" s="15" cm="1">
        <f t="array" ref="G18">C18+3.32</f>
        <v>7.363999999999999</v>
      </c>
    </row>
    <row r="19" spans="1:7" ht="20.149999999999999" customHeight="1">
      <c r="A19" s="13"/>
      <c r="B19" s="14"/>
      <c r="C19" s="15">
        <v>4.0830000000000002</v>
      </c>
      <c r="D19" s="17">
        <v>12.85</v>
      </c>
      <c r="E19" s="15">
        <v>4.782</v>
      </c>
      <c r="F19" s="15">
        <v>12.78</v>
      </c>
      <c r="G19" s="15" cm="1">
        <f t="array" ref="G19">C19+3.32</f>
        <v>7.4030000000000005</v>
      </c>
    </row>
    <row r="20" spans="1:7" ht="20.149999999999999" customHeight="1">
      <c r="A20" s="13"/>
      <c r="B20" s="14"/>
      <c r="C20" s="15">
        <v>4.1139999999999999</v>
      </c>
      <c r="D20" s="15">
        <v>12.84</v>
      </c>
      <c r="E20" s="15">
        <v>5.085</v>
      </c>
      <c r="F20" s="15">
        <v>12.77</v>
      </c>
      <c r="G20" s="15" cm="1">
        <f t="array" ref="G20">C20+3.32</f>
        <v>7.4339999999999993</v>
      </c>
    </row>
    <row r="21" spans="1:7" ht="20.149999999999999" customHeight="1">
      <c r="A21" s="13"/>
      <c r="B21" s="14"/>
      <c r="C21" s="15">
        <v>4.1669999999999998</v>
      </c>
      <c r="D21" s="15">
        <v>12.83</v>
      </c>
      <c r="E21" s="15">
        <v>5.5259999999999998</v>
      </c>
      <c r="F21" s="15">
        <v>12.76</v>
      </c>
      <c r="G21" s="15" cm="1">
        <f t="array" ref="G21">C21+3.32</f>
        <v>7.4870000000000001</v>
      </c>
    </row>
    <row r="22" spans="1:7" ht="20.149999999999999" customHeight="1">
      <c r="A22" s="13"/>
      <c r="B22" s="14"/>
      <c r="C22" s="15">
        <v>4.234</v>
      </c>
      <c r="D22" s="15">
        <v>12.82</v>
      </c>
      <c r="E22" s="15">
        <v>6.3179999999999996</v>
      </c>
      <c r="F22" s="15">
        <v>12.75</v>
      </c>
      <c r="G22" s="15" cm="1">
        <f t="array" ref="G22">C22+3.32</f>
        <v>7.5540000000000003</v>
      </c>
    </row>
    <row r="23" spans="1:7" ht="20.149999999999999" customHeight="1">
      <c r="A23" s="13"/>
      <c r="B23" s="14"/>
      <c r="C23" s="15">
        <v>4.3179999999999996</v>
      </c>
      <c r="D23" s="15">
        <v>12.81</v>
      </c>
      <c r="E23" s="15">
        <v>6.9189999999999996</v>
      </c>
      <c r="F23" s="15">
        <v>12.74</v>
      </c>
      <c r="G23" s="15" cm="1">
        <f t="array" ref="G23">C23+3.32</f>
        <v>7.6379999999999999</v>
      </c>
    </row>
    <row r="24" spans="1:7" ht="20.149999999999999" customHeight="1">
      <c r="A24" s="13"/>
      <c r="B24" s="14"/>
      <c r="C24" s="15">
        <v>4.5369999999999999</v>
      </c>
      <c r="D24" s="15">
        <v>12.8</v>
      </c>
      <c r="E24" s="15">
        <v>7.266</v>
      </c>
      <c r="F24" s="15">
        <v>12.73</v>
      </c>
      <c r="G24" s="15" cm="1">
        <f t="array" ref="G24">C24+3.32</f>
        <v>7.8569999999999993</v>
      </c>
    </row>
    <row r="25" spans="1:7" ht="20.149999999999999" customHeight="1">
      <c r="A25" s="13"/>
      <c r="B25" s="14"/>
      <c r="C25" s="15">
        <v>4.6790000000000003</v>
      </c>
      <c r="D25" s="15">
        <v>12.79</v>
      </c>
      <c r="E25" s="15">
        <v>7.4740000000000002</v>
      </c>
      <c r="F25" s="15">
        <v>12.72</v>
      </c>
      <c r="G25" s="15" cm="1">
        <f t="array" ref="G25">C25+3.32</f>
        <v>7.9990000000000006</v>
      </c>
    </row>
    <row r="26" spans="1:7" ht="20.149999999999999" customHeight="1">
      <c r="A26" s="13"/>
      <c r="B26" s="14"/>
      <c r="C26" s="15">
        <v>5.0970000000000004</v>
      </c>
      <c r="D26" s="15">
        <v>12.78</v>
      </c>
      <c r="E26" s="15">
        <v>7.742</v>
      </c>
      <c r="F26" s="15">
        <v>12.71</v>
      </c>
      <c r="G26" s="15" cm="1">
        <f t="array" ref="G26">C26+3.32</f>
        <v>8.4169999999999998</v>
      </c>
    </row>
    <row r="27" spans="1:7" ht="20.149999999999999" customHeight="1">
      <c r="A27" s="13"/>
      <c r="B27" s="14"/>
      <c r="C27" s="15">
        <v>5.98</v>
      </c>
      <c r="D27" s="15">
        <v>12.77</v>
      </c>
      <c r="E27" s="15">
        <v>7.923</v>
      </c>
      <c r="F27" s="15">
        <v>12.7</v>
      </c>
      <c r="G27" s="15" cm="1">
        <f t="array" ref="G27">C27+3.32</f>
        <v>9.3000000000000007</v>
      </c>
    </row>
    <row r="28" spans="1:7" ht="20.149999999999999" customHeight="1">
      <c r="A28" s="13"/>
      <c r="B28" s="14"/>
      <c r="C28" s="15">
        <v>6.7709999999999999</v>
      </c>
      <c r="D28" s="15">
        <v>12.76</v>
      </c>
      <c r="E28" s="15">
        <v>8.0259999999999998</v>
      </c>
      <c r="F28" s="15">
        <v>12.69</v>
      </c>
      <c r="G28" s="15" cm="1">
        <f t="array" ref="G28">C28+3.32</f>
        <v>10.090999999999999</v>
      </c>
    </row>
    <row r="29" spans="1:7" ht="20.149999999999999" customHeight="1">
      <c r="A29" s="13"/>
      <c r="B29" s="14"/>
      <c r="C29" s="15">
        <v>7.1420000000000003</v>
      </c>
      <c r="D29" s="15">
        <v>12.75</v>
      </c>
      <c r="E29" s="15">
        <v>8.1560000000000006</v>
      </c>
      <c r="F29" s="15">
        <v>12.68</v>
      </c>
      <c r="G29" s="15" cm="1">
        <f t="array" ref="G29">C29+3.32</f>
        <v>10.462</v>
      </c>
    </row>
    <row r="30" spans="1:7" ht="20.149999999999999" customHeight="1">
      <c r="A30" s="13"/>
      <c r="B30" s="14"/>
      <c r="C30" s="15">
        <v>7.4820000000000002</v>
      </c>
      <c r="D30" s="15">
        <v>12.74</v>
      </c>
      <c r="E30" s="15">
        <v>8.2550000000000008</v>
      </c>
      <c r="F30" s="15">
        <v>12.67</v>
      </c>
      <c r="G30" s="15" cm="1">
        <f t="array" ref="G30">C30+3.32</f>
        <v>10.802</v>
      </c>
    </row>
    <row r="31" spans="1:7" ht="20.149999999999999" customHeight="1">
      <c r="A31" s="13"/>
      <c r="B31" s="14"/>
      <c r="C31" s="15">
        <v>7.6479999999999997</v>
      </c>
      <c r="D31" s="15">
        <v>12.73</v>
      </c>
      <c r="E31" s="15">
        <v>8.3439999999999994</v>
      </c>
      <c r="F31" s="15">
        <v>12.66</v>
      </c>
      <c r="G31" s="15" cm="1">
        <f t="array" ref="G31">C31+3.32</f>
        <v>10.968</v>
      </c>
    </row>
    <row r="32" spans="1:7" ht="20.149999999999999" customHeight="1">
      <c r="A32" s="13"/>
      <c r="B32" s="14"/>
      <c r="C32" s="15">
        <v>7.835</v>
      </c>
      <c r="D32" s="15">
        <v>12.72</v>
      </c>
      <c r="E32" s="15">
        <v>8.452</v>
      </c>
      <c r="F32" s="15">
        <v>12.65</v>
      </c>
      <c r="G32" s="15" cm="1">
        <f t="array" ref="G32">C32+3.32</f>
        <v>11.154999999999999</v>
      </c>
    </row>
    <row r="33" spans="1:7" ht="20.149999999999999" customHeight="1">
      <c r="A33" s="13"/>
      <c r="B33" s="14"/>
      <c r="C33" s="15">
        <v>7.9470000000000001</v>
      </c>
      <c r="D33" s="15">
        <v>12.71</v>
      </c>
      <c r="E33" s="15">
        <v>8.5510000000000002</v>
      </c>
      <c r="F33" s="15">
        <v>12.64</v>
      </c>
      <c r="G33" s="15" cm="1">
        <f t="array" ref="G33">C33+3.32</f>
        <v>11.266999999999999</v>
      </c>
    </row>
    <row r="34" spans="1:7" ht="20.149999999999999" customHeight="1">
      <c r="A34" s="13"/>
      <c r="B34" s="14"/>
      <c r="C34" s="15">
        <v>8.0449999999999999</v>
      </c>
      <c r="D34" s="15">
        <v>12.7</v>
      </c>
      <c r="E34" s="15">
        <v>8.6419999999999995</v>
      </c>
      <c r="F34" s="15">
        <v>12.63</v>
      </c>
      <c r="G34" s="15" cm="1">
        <f t="array" ref="G34">C34+3.32</f>
        <v>11.365</v>
      </c>
    </row>
    <row r="35" spans="1:7" ht="20.149999999999999" customHeight="1">
      <c r="A35" s="13"/>
      <c r="B35" s="14"/>
      <c r="C35" s="15">
        <v>8.1240000000000006</v>
      </c>
      <c r="D35" s="15">
        <v>12.69</v>
      </c>
      <c r="E35" s="15">
        <v>8.718</v>
      </c>
      <c r="F35" s="15">
        <v>12.62</v>
      </c>
      <c r="G35" s="15" cm="1">
        <f t="array" ref="G35">C35+3.32</f>
        <v>11.444000000000001</v>
      </c>
    </row>
    <row r="36" spans="1:7" ht="20.149999999999999" customHeight="1">
      <c r="A36" s="13"/>
      <c r="B36" s="14"/>
      <c r="C36" s="15">
        <v>8.234</v>
      </c>
      <c r="D36" s="15">
        <v>12.68</v>
      </c>
      <c r="E36" s="15">
        <v>8.8040000000000003</v>
      </c>
      <c r="F36" s="15">
        <v>12.61</v>
      </c>
      <c r="G36" s="15" cm="1">
        <f t="array" ref="G36">C36+3.32</f>
        <v>11.554</v>
      </c>
    </row>
    <row r="37" spans="1:7" ht="20.149999999999999" customHeight="1">
      <c r="A37" s="13"/>
      <c r="B37" s="14"/>
      <c r="C37" s="15">
        <v>8.327</v>
      </c>
      <c r="D37" s="15">
        <v>12.67</v>
      </c>
      <c r="E37" s="15">
        <v>8.9280000000000008</v>
      </c>
      <c r="F37" s="15">
        <v>12.6</v>
      </c>
      <c r="G37" s="15" cm="1">
        <f t="array" ref="G37">C37+3.32</f>
        <v>11.647</v>
      </c>
    </row>
    <row r="38" spans="1:7" ht="20.149999999999999" customHeight="1">
      <c r="A38" s="13"/>
      <c r="B38" s="14"/>
      <c r="C38" s="15">
        <v>8.4589999999999996</v>
      </c>
      <c r="D38" s="15">
        <v>12.66</v>
      </c>
      <c r="E38" s="15">
        <v>8.984</v>
      </c>
      <c r="F38" s="15">
        <v>12.59</v>
      </c>
      <c r="G38" s="15" cm="1">
        <f t="array" ref="G38">C38+3.32</f>
        <v>11.779</v>
      </c>
    </row>
    <row r="39" spans="1:7" ht="20.149999999999999" customHeight="1">
      <c r="A39" s="13"/>
      <c r="B39" s="14"/>
      <c r="C39" s="15">
        <v>8.5299999999999994</v>
      </c>
      <c r="D39" s="15">
        <v>12.65</v>
      </c>
      <c r="E39" s="15">
        <v>9.1329999999999991</v>
      </c>
      <c r="F39" s="15">
        <v>12.58</v>
      </c>
      <c r="G39" s="15" cm="1">
        <f t="array" ref="G39">C39+3.32</f>
        <v>11.85</v>
      </c>
    </row>
    <row r="40" spans="1:7" ht="20.149999999999999" customHeight="1">
      <c r="A40" s="13"/>
      <c r="B40" s="14"/>
      <c r="C40" s="15">
        <v>8.6</v>
      </c>
      <c r="D40" s="15">
        <v>12.64</v>
      </c>
      <c r="E40" s="15">
        <v>9.2330000000000005</v>
      </c>
      <c r="F40" s="15">
        <v>12.57</v>
      </c>
      <c r="G40" s="15" cm="1">
        <f t="array" ref="G40">C40+3.32</f>
        <v>11.92</v>
      </c>
    </row>
    <row r="41" spans="1:7" ht="20.149999999999999" customHeight="1">
      <c r="A41" s="13"/>
      <c r="B41" s="14"/>
      <c r="C41" s="15">
        <v>8.7050000000000001</v>
      </c>
      <c r="D41" s="15">
        <v>12.63</v>
      </c>
      <c r="E41" s="15">
        <v>9.3160000000000007</v>
      </c>
      <c r="F41" s="15">
        <v>12.56</v>
      </c>
      <c r="G41" s="15" cm="1">
        <f t="array" ref="G41">C41+3.32</f>
        <v>12.025</v>
      </c>
    </row>
    <row r="42" spans="1:7" ht="20.149999999999999" customHeight="1">
      <c r="A42" s="13"/>
      <c r="B42" s="14"/>
      <c r="C42" s="15">
        <v>8.7870000000000008</v>
      </c>
      <c r="D42" s="15">
        <v>12.62</v>
      </c>
      <c r="E42" s="15">
        <v>9.3870000000000005</v>
      </c>
      <c r="F42" s="15">
        <v>12.55</v>
      </c>
      <c r="G42" s="15" cm="1">
        <f t="array" ref="G42">C42+3.32</f>
        <v>12.107000000000001</v>
      </c>
    </row>
    <row r="43" spans="1:7" ht="20.149999999999999" customHeight="1">
      <c r="A43" s="13"/>
      <c r="B43" s="14"/>
      <c r="C43" s="15">
        <v>8.9130000000000003</v>
      </c>
      <c r="D43" s="15">
        <v>12.61</v>
      </c>
      <c r="E43" s="15">
        <v>9.44</v>
      </c>
      <c r="F43" s="15">
        <v>12.54</v>
      </c>
      <c r="G43" s="15" cm="1">
        <f t="array" ref="G43">C43+3.32</f>
        <v>12.233000000000001</v>
      </c>
    </row>
    <row r="44" spans="1:7" ht="20.149999999999999" customHeight="1">
      <c r="A44" s="13"/>
      <c r="B44" s="14"/>
      <c r="C44" s="15">
        <v>9.0380000000000003</v>
      </c>
      <c r="D44" s="15">
        <v>12.6</v>
      </c>
      <c r="E44" s="15">
        <v>9.5109999999999992</v>
      </c>
      <c r="F44" s="15">
        <v>12.53</v>
      </c>
      <c r="G44" s="15" cm="1">
        <f t="array" ref="G44">C44+3.32</f>
        <v>12.358000000000001</v>
      </c>
    </row>
    <row r="45" spans="1:7" ht="20.149999999999999" customHeight="1">
      <c r="A45" s="13"/>
      <c r="B45" s="14"/>
      <c r="C45" s="15">
        <v>9.0869999999999997</v>
      </c>
      <c r="D45" s="15">
        <v>12.59</v>
      </c>
      <c r="E45" s="15">
        <v>9.5820000000000007</v>
      </c>
      <c r="F45" s="15">
        <v>12.52</v>
      </c>
      <c r="G45" s="15" cm="1">
        <f t="array" ref="G45">C45+3.32</f>
        <v>12.407</v>
      </c>
    </row>
    <row r="46" spans="1:7" ht="20.149999999999999" customHeight="1">
      <c r="A46" s="13"/>
      <c r="B46" s="14"/>
      <c r="C46" s="15">
        <v>9.1890000000000001</v>
      </c>
      <c r="D46" s="15">
        <v>12.58</v>
      </c>
      <c r="E46" s="15">
        <v>9.6519999999999992</v>
      </c>
      <c r="F46" s="15">
        <v>12.51</v>
      </c>
      <c r="G46" s="15" cm="1">
        <f t="array" ref="G46">C46+3.32</f>
        <v>12.509</v>
      </c>
    </row>
    <row r="47" spans="1:7" ht="20.149999999999999" customHeight="1">
      <c r="A47" s="13"/>
      <c r="B47" s="14"/>
      <c r="C47" s="15">
        <v>9.2859999999999996</v>
      </c>
      <c r="D47" s="15">
        <v>12.57</v>
      </c>
      <c r="E47" s="15">
        <v>9.7200000000000006</v>
      </c>
      <c r="F47" s="15">
        <v>12.5</v>
      </c>
      <c r="G47" s="15" cm="1">
        <f t="array" ref="G47">C47+3.32</f>
        <v>12.606</v>
      </c>
    </row>
    <row r="48" spans="1:7" ht="20.149999999999999" customHeight="1">
      <c r="A48" s="13"/>
      <c r="B48" s="14"/>
      <c r="C48" s="15">
        <v>9.3659999999999997</v>
      </c>
      <c r="D48" s="15">
        <v>12.56</v>
      </c>
      <c r="E48" s="15">
        <v>9.7840000000000007</v>
      </c>
      <c r="F48" s="15">
        <v>12.49</v>
      </c>
      <c r="G48" s="15" cm="1">
        <f t="array" ref="G48">C48+3.32</f>
        <v>12.686</v>
      </c>
    </row>
    <row r="49" spans="1:7" ht="20.149999999999999" customHeight="1">
      <c r="A49" s="13"/>
      <c r="B49" s="14"/>
      <c r="C49" s="15">
        <v>9.4269999999999996</v>
      </c>
      <c r="D49" s="15">
        <v>12.55</v>
      </c>
      <c r="E49" s="15">
        <v>9.8230000000000004</v>
      </c>
      <c r="F49" s="15">
        <v>12.48</v>
      </c>
      <c r="G49" s="15" cm="1">
        <f t="array" ref="G49">C49+3.32</f>
        <v>12.747</v>
      </c>
    </row>
    <row r="50" spans="1:7" ht="20.149999999999999" customHeight="1">
      <c r="A50" s="13"/>
      <c r="B50" s="14"/>
      <c r="C50" s="15">
        <v>9.4909999999999997</v>
      </c>
      <c r="D50" s="15">
        <v>12.54</v>
      </c>
      <c r="E50" s="15">
        <v>9.8810000000000002</v>
      </c>
      <c r="F50" s="15">
        <v>12.47</v>
      </c>
      <c r="G50" s="15" cm="1">
        <f t="array" ref="G50">C50+3.32</f>
        <v>12.811</v>
      </c>
    </row>
    <row r="51" spans="1:7" ht="20.149999999999999" customHeight="1">
      <c r="A51" s="13"/>
      <c r="B51" s="14"/>
      <c r="C51" s="15">
        <v>9.5510000000000002</v>
      </c>
      <c r="D51" s="15">
        <v>12.53</v>
      </c>
      <c r="E51" s="15">
        <v>9.9649999999999999</v>
      </c>
      <c r="F51" s="15">
        <v>12.46</v>
      </c>
      <c r="G51" s="15" cm="1">
        <f t="array" ref="G51">C51+3.32</f>
        <v>12.871</v>
      </c>
    </row>
    <row r="52" spans="1:7" ht="20.149999999999999" customHeight="1">
      <c r="A52" s="13"/>
      <c r="B52" s="14"/>
      <c r="C52" s="15">
        <v>9.6120000000000001</v>
      </c>
      <c r="D52" s="15">
        <v>12.52</v>
      </c>
      <c r="E52" s="15">
        <v>10.01</v>
      </c>
      <c r="F52" s="15">
        <v>12.45</v>
      </c>
      <c r="G52" s="15" cm="1">
        <f t="array" ref="G52">C52+3.32</f>
        <v>12.932</v>
      </c>
    </row>
    <row r="53" spans="1:7" ht="20.149999999999999" customHeight="1">
      <c r="A53" s="13"/>
      <c r="B53" s="14"/>
      <c r="C53" s="15">
        <v>9.6630000000000003</v>
      </c>
      <c r="D53" s="15">
        <v>12.51</v>
      </c>
      <c r="E53" s="15">
        <v>10.039999999999999</v>
      </c>
      <c r="F53" s="15">
        <v>12.44</v>
      </c>
      <c r="G53" s="15" cm="1">
        <f t="array" ref="G53">C53+3.32</f>
        <v>12.983000000000001</v>
      </c>
    </row>
    <row r="54" spans="1:7" ht="20.149999999999999" customHeight="1">
      <c r="A54" s="13"/>
      <c r="B54" s="14"/>
      <c r="C54" s="15">
        <v>9.7219999999999995</v>
      </c>
      <c r="D54" s="15">
        <v>12.5</v>
      </c>
      <c r="E54" s="15">
        <v>10.08</v>
      </c>
      <c r="F54" s="15">
        <v>12.43</v>
      </c>
      <c r="G54" s="15" cm="1">
        <f t="array" ref="G54">C54+3.32</f>
        <v>13.042</v>
      </c>
    </row>
    <row r="55" spans="1:7" ht="20.149999999999999" customHeight="1">
      <c r="A55" s="13"/>
      <c r="B55" s="14"/>
      <c r="C55" s="15">
        <v>9.7799999999999994</v>
      </c>
      <c r="D55" s="15">
        <v>12.49</v>
      </c>
      <c r="E55" s="15">
        <v>10.16</v>
      </c>
      <c r="F55" s="15">
        <v>12.42</v>
      </c>
      <c r="G55" s="15" cm="1">
        <f t="array" ref="G55">C55+3.32</f>
        <v>13.1</v>
      </c>
    </row>
    <row r="56" spans="1:7" ht="20.149999999999999" customHeight="1">
      <c r="A56" s="13"/>
      <c r="B56" s="14"/>
      <c r="C56" s="15">
        <v>9.8650000000000002</v>
      </c>
      <c r="D56" s="15">
        <v>12.48</v>
      </c>
      <c r="E56" s="15">
        <v>10.19</v>
      </c>
      <c r="F56" s="15">
        <v>12.41</v>
      </c>
      <c r="G56" s="15" cm="1">
        <f t="array" ref="G56">C56+3.32</f>
        <v>13.185</v>
      </c>
    </row>
    <row r="57" spans="1:7" ht="20.149999999999999" customHeight="1">
      <c r="A57" s="13"/>
      <c r="B57" s="14"/>
      <c r="C57" s="15">
        <v>9.9350000000000005</v>
      </c>
      <c r="D57" s="15">
        <v>12.47</v>
      </c>
      <c r="E57" s="15">
        <v>10.220000000000001</v>
      </c>
      <c r="F57" s="15">
        <v>12.4</v>
      </c>
      <c r="G57" s="15" cm="1">
        <f t="array" ref="G57">C57+3.32</f>
        <v>13.255000000000001</v>
      </c>
    </row>
    <row r="58" spans="1:7" ht="20.149999999999999" customHeight="1">
      <c r="A58" s="13"/>
      <c r="B58" s="14"/>
      <c r="C58" s="15">
        <v>9.9879999999999995</v>
      </c>
      <c r="D58" s="15">
        <v>12.46</v>
      </c>
      <c r="E58" s="15">
        <v>10.29</v>
      </c>
      <c r="F58" s="15">
        <v>12.39</v>
      </c>
      <c r="G58" s="15" cm="1">
        <f t="array" ref="G58">C58+3.32</f>
        <v>13.308</v>
      </c>
    </row>
    <row r="59" spans="1:7" ht="20.149999999999999" customHeight="1">
      <c r="A59" s="13"/>
      <c r="B59" s="14"/>
      <c r="C59" s="15">
        <v>10.02</v>
      </c>
      <c r="D59" s="15">
        <v>12.45</v>
      </c>
      <c r="E59" s="15">
        <v>10.34</v>
      </c>
      <c r="F59" s="15">
        <v>12.38</v>
      </c>
      <c r="G59" s="15" cm="1">
        <f t="array" ref="G59">C59+3.32</f>
        <v>13.34</v>
      </c>
    </row>
    <row r="60" spans="1:7" ht="20.149999999999999" customHeight="1">
      <c r="A60" s="13"/>
      <c r="B60" s="14"/>
      <c r="C60" s="15">
        <v>10.077</v>
      </c>
      <c r="D60" s="15">
        <v>12.44</v>
      </c>
      <c r="E60" s="15">
        <v>10.48</v>
      </c>
      <c r="F60" s="15">
        <v>12.37</v>
      </c>
      <c r="G60" s="15" cm="1">
        <f t="array" ref="G60">C60+3.32</f>
        <v>13.397</v>
      </c>
    </row>
    <row r="61" spans="1:7" ht="20.149999999999999" customHeight="1">
      <c r="A61" s="13"/>
      <c r="B61" s="14"/>
      <c r="C61" s="15">
        <v>10.118</v>
      </c>
      <c r="D61" s="15">
        <v>12.43</v>
      </c>
      <c r="E61" s="15">
        <v>10.64</v>
      </c>
      <c r="F61" s="15">
        <v>12.36</v>
      </c>
      <c r="G61" s="15" cm="1">
        <f t="array" ref="G61">C61+3.32</f>
        <v>13.438000000000001</v>
      </c>
    </row>
    <row r="62" spans="1:7" ht="20.149999999999999" customHeight="1">
      <c r="A62" s="13"/>
      <c r="B62" s="14"/>
      <c r="C62" s="15">
        <v>10.157</v>
      </c>
      <c r="D62" s="15">
        <v>12.42</v>
      </c>
      <c r="E62" s="15">
        <v>10.72</v>
      </c>
      <c r="F62" s="15">
        <v>12.35</v>
      </c>
      <c r="G62" s="15" cm="1">
        <f t="array" ref="G62">C62+3.32</f>
        <v>13.477</v>
      </c>
    </row>
    <row r="63" spans="1:7" ht="20.149999999999999" customHeight="1">
      <c r="A63" s="13"/>
      <c r="B63" s="14"/>
      <c r="C63" s="15">
        <v>10.199</v>
      </c>
      <c r="D63" s="15">
        <v>12.41</v>
      </c>
      <c r="E63" s="15">
        <v>10.8</v>
      </c>
      <c r="F63" s="15">
        <v>12.34</v>
      </c>
      <c r="G63" s="15" cm="1">
        <f t="array" ref="G63">C63+3.32</f>
        <v>13.519</v>
      </c>
    </row>
    <row r="64" spans="1:7" ht="20.149999999999999" customHeight="1">
      <c r="A64" s="13"/>
      <c r="B64" s="14"/>
      <c r="C64" s="15">
        <v>10.237</v>
      </c>
      <c r="D64" s="15">
        <v>12.4</v>
      </c>
      <c r="E64" s="15">
        <v>10.88</v>
      </c>
      <c r="F64" s="15">
        <v>12.33</v>
      </c>
      <c r="G64" s="15" cm="1">
        <f t="array" ref="G64">C64+3.32</f>
        <v>13.557</v>
      </c>
    </row>
    <row r="65" spans="1:7" ht="20.149999999999999" customHeight="1">
      <c r="A65" s="13"/>
      <c r="B65" s="14"/>
      <c r="C65" s="15">
        <v>10.304</v>
      </c>
      <c r="D65" s="15">
        <v>12.39</v>
      </c>
      <c r="E65" s="15">
        <v>10.93</v>
      </c>
      <c r="F65" s="15">
        <v>12.32</v>
      </c>
      <c r="G65" s="15" cm="1">
        <f t="array" ref="G65">C65+3.32</f>
        <v>13.624000000000001</v>
      </c>
    </row>
    <row r="66" spans="1:7" ht="20.149999999999999" customHeight="1">
      <c r="A66" s="13"/>
      <c r="B66" s="14"/>
      <c r="C66" s="15">
        <v>10.41</v>
      </c>
      <c r="D66" s="15">
        <v>12.38</v>
      </c>
      <c r="E66" s="15">
        <v>10.97</v>
      </c>
      <c r="F66" s="15">
        <v>12.31</v>
      </c>
      <c r="G66" s="15" cm="1">
        <f t="array" ref="G66">C66+3.32</f>
        <v>13.73</v>
      </c>
    </row>
    <row r="67" spans="1:7" ht="20.149999999999999" customHeight="1">
      <c r="A67" s="13"/>
      <c r="B67" s="14"/>
      <c r="C67" s="15">
        <v>10.577</v>
      </c>
      <c r="D67" s="15">
        <v>12.37</v>
      </c>
      <c r="E67" s="15">
        <v>10.99</v>
      </c>
      <c r="F67" s="15">
        <v>12.3</v>
      </c>
      <c r="G67" s="15" cm="1">
        <f t="array" ref="G67">C67+3.32</f>
        <v>13.897</v>
      </c>
    </row>
    <row r="68" spans="1:7" ht="20.149999999999999" customHeight="1">
      <c r="A68" s="13"/>
      <c r="B68" s="14"/>
      <c r="C68" s="15">
        <v>10.676</v>
      </c>
      <c r="D68" s="15">
        <v>12.36</v>
      </c>
      <c r="E68" s="15">
        <v>11.03</v>
      </c>
      <c r="F68" s="15">
        <v>12.29</v>
      </c>
      <c r="G68" s="15" cm="1">
        <f t="array" ref="G68">C68+3.32</f>
        <v>13.996</v>
      </c>
    </row>
    <row r="69" spans="1:7" ht="20.149999999999999" customHeight="1">
      <c r="A69" s="13"/>
      <c r="B69" s="14"/>
      <c r="C69" s="15">
        <v>10.733000000000001</v>
      </c>
      <c r="D69" s="15">
        <v>12.35</v>
      </c>
      <c r="E69" s="15">
        <v>11.05</v>
      </c>
      <c r="F69" s="15">
        <v>12.28</v>
      </c>
      <c r="G69" s="15" cm="1">
        <f t="array" ref="G69">C69+3.32</f>
        <v>14.053000000000001</v>
      </c>
    </row>
    <row r="70" spans="1:7" ht="20.149999999999999" customHeight="1">
      <c r="A70" s="13"/>
      <c r="B70" s="14"/>
      <c r="C70" s="15">
        <v>10.831</v>
      </c>
      <c r="D70" s="15">
        <v>12.34</v>
      </c>
      <c r="E70" s="15">
        <v>11.07</v>
      </c>
      <c r="F70" s="15">
        <v>12.27</v>
      </c>
      <c r="G70" s="15" cm="1">
        <f t="array" ref="G70">C70+3.32</f>
        <v>14.151</v>
      </c>
    </row>
    <row r="71" spans="1:7" ht="20.149999999999999" customHeight="1">
      <c r="A71" s="13"/>
      <c r="B71" s="14"/>
      <c r="C71" s="15">
        <v>10.88</v>
      </c>
      <c r="D71" s="15">
        <v>12.33</v>
      </c>
      <c r="E71" s="15">
        <v>11.09</v>
      </c>
      <c r="F71" s="15">
        <v>12.26</v>
      </c>
      <c r="G71" s="15" cm="1">
        <f t="array" ref="G71">C71+3.32</f>
        <v>14.200000000000001</v>
      </c>
    </row>
    <row r="72" spans="1:7" ht="20.149999999999999" customHeight="1">
      <c r="A72" s="13"/>
      <c r="B72" s="14"/>
      <c r="C72" s="15">
        <v>10.914</v>
      </c>
      <c r="D72" s="15">
        <v>12.32</v>
      </c>
      <c r="E72" s="15">
        <v>11.1</v>
      </c>
      <c r="F72" s="15">
        <v>12.25</v>
      </c>
      <c r="G72" s="15" cm="1">
        <f t="array" ref="G72">C72+3.32</f>
        <v>14.234</v>
      </c>
    </row>
    <row r="73" spans="1:7" ht="20.149999999999999" customHeight="1">
      <c r="A73" s="13"/>
      <c r="B73" s="14"/>
      <c r="C73" s="15">
        <v>10.952999999999999</v>
      </c>
      <c r="D73" s="15">
        <v>12.31</v>
      </c>
      <c r="E73" s="15">
        <v>11.12</v>
      </c>
      <c r="F73" s="15">
        <v>12.24</v>
      </c>
      <c r="G73" s="15" cm="1">
        <f t="array" ref="G73">C73+3.32</f>
        <v>14.273</v>
      </c>
    </row>
    <row r="74" spans="1:7" ht="20.149999999999999" customHeight="1">
      <c r="A74" s="13"/>
      <c r="B74" s="14"/>
      <c r="C74" s="15">
        <v>10.978</v>
      </c>
      <c r="D74" s="15">
        <v>12.3</v>
      </c>
      <c r="E74" s="15">
        <v>11.13</v>
      </c>
      <c r="F74" s="15">
        <v>12.23</v>
      </c>
      <c r="G74" s="15" cm="1">
        <f t="array" ref="G74">C74+3.32</f>
        <v>14.298</v>
      </c>
    </row>
    <row r="75" spans="1:7" ht="20.149999999999999" customHeight="1">
      <c r="A75" s="13"/>
      <c r="B75" s="14"/>
      <c r="C75" s="15">
        <v>11.005000000000001</v>
      </c>
      <c r="D75" s="15">
        <v>12.29</v>
      </c>
      <c r="E75" s="15">
        <v>11.14</v>
      </c>
      <c r="F75" s="15">
        <v>12.22</v>
      </c>
      <c r="G75" s="15" cm="1">
        <f t="array" ref="G75">C75+3.32</f>
        <v>14.325000000000001</v>
      </c>
    </row>
    <row r="76" spans="1:7" ht="20.149999999999999" customHeight="1">
      <c r="A76" s="13"/>
      <c r="B76" s="14"/>
      <c r="C76" s="15">
        <v>11.031000000000001</v>
      </c>
      <c r="D76" s="15">
        <v>12.28</v>
      </c>
      <c r="E76" s="15">
        <v>11.15</v>
      </c>
      <c r="F76" s="15">
        <v>12.21</v>
      </c>
      <c r="G76" s="15" cm="1">
        <f t="array" ref="G76">C76+3.32</f>
        <v>14.351000000000001</v>
      </c>
    </row>
    <row r="77" spans="1:7" ht="20.149999999999999" customHeight="1">
      <c r="A77" s="13"/>
      <c r="B77" s="14"/>
      <c r="C77" s="15">
        <v>11.05</v>
      </c>
      <c r="D77" s="15">
        <v>12.27</v>
      </c>
      <c r="E77" s="15">
        <v>11.17</v>
      </c>
      <c r="F77" s="15">
        <v>12.2</v>
      </c>
      <c r="G77" s="15" cm="1">
        <f t="array" ref="G77">C77+3.32</f>
        <v>14.370000000000001</v>
      </c>
    </row>
    <row r="78" spans="1:7" ht="20.149999999999999" customHeight="1">
      <c r="A78" s="13"/>
      <c r="B78" s="14"/>
      <c r="C78" s="15">
        <v>11.067</v>
      </c>
      <c r="D78" s="15">
        <v>12.26</v>
      </c>
      <c r="E78" s="15">
        <v>11.17</v>
      </c>
      <c r="F78" s="15">
        <v>12.19</v>
      </c>
      <c r="G78" s="15" cm="1">
        <f t="array" ref="G78">C78+3.32</f>
        <v>14.387</v>
      </c>
    </row>
    <row r="79" spans="1:7" ht="20.149999999999999" customHeight="1">
      <c r="A79" s="13"/>
      <c r="B79" s="14"/>
      <c r="C79" s="15">
        <v>11.077</v>
      </c>
      <c r="D79" s="15">
        <v>12.25</v>
      </c>
      <c r="E79" s="15">
        <v>11.19</v>
      </c>
      <c r="F79" s="15">
        <v>12.18</v>
      </c>
      <c r="G79" s="15" cm="1">
        <f t="array" ref="G79">C79+3.32</f>
        <v>14.397</v>
      </c>
    </row>
    <row r="80" spans="1:7" ht="20.149999999999999" customHeight="1">
      <c r="A80" s="13"/>
      <c r="B80" s="14"/>
      <c r="C80" s="15">
        <v>11.087999999999999</v>
      </c>
      <c r="D80" s="15">
        <v>12.24</v>
      </c>
      <c r="E80" s="15">
        <v>11.19</v>
      </c>
      <c r="F80" s="15">
        <v>12.17</v>
      </c>
      <c r="G80" s="15" cm="1">
        <f t="array" ref="G80">C80+3.32</f>
        <v>14.407999999999999</v>
      </c>
    </row>
    <row r="81" spans="1:7" ht="20.149999999999999" customHeight="1">
      <c r="A81" s="13"/>
      <c r="B81" s="14"/>
      <c r="C81" s="15">
        <v>11.1</v>
      </c>
      <c r="D81" s="15">
        <v>12.23</v>
      </c>
      <c r="E81" s="15">
        <v>11.21</v>
      </c>
      <c r="F81" s="15">
        <v>12.16</v>
      </c>
      <c r="G81" s="15" cm="1">
        <f t="array" ref="G81">C81+3.32</f>
        <v>14.42</v>
      </c>
    </row>
    <row r="82" spans="1:7" ht="20.149999999999999" customHeight="1">
      <c r="A82" s="13"/>
      <c r="B82" s="14"/>
      <c r="C82" s="15">
        <v>11.114000000000001</v>
      </c>
      <c r="D82" s="15">
        <v>12.22</v>
      </c>
      <c r="E82" s="15">
        <v>11.22</v>
      </c>
      <c r="F82" s="15">
        <v>12.15</v>
      </c>
      <c r="G82" s="15" cm="1">
        <f t="array" ref="G82">C82+3.32</f>
        <v>14.434000000000001</v>
      </c>
    </row>
    <row r="83" spans="1:7" ht="20.149999999999999" customHeight="1">
      <c r="A83" s="13"/>
      <c r="B83" s="14"/>
      <c r="C83" s="15">
        <v>11.121</v>
      </c>
      <c r="D83" s="15">
        <v>12.21</v>
      </c>
      <c r="E83" s="15">
        <v>11.22</v>
      </c>
      <c r="F83" s="15">
        <v>12.14</v>
      </c>
      <c r="G83" s="15" cm="1">
        <f t="array" ref="G83">C83+3.32</f>
        <v>14.441000000000001</v>
      </c>
    </row>
    <row r="84" spans="1:7" ht="20.149999999999999" customHeight="1">
      <c r="A84" s="13"/>
      <c r="B84" s="14"/>
      <c r="C84" s="15">
        <v>11.132</v>
      </c>
      <c r="D84" s="15">
        <v>12.2</v>
      </c>
      <c r="E84" s="15">
        <v>11.23</v>
      </c>
      <c r="F84" s="15">
        <v>12.13</v>
      </c>
      <c r="G84" s="15" cm="1">
        <f t="array" ref="G84">C84+3.32</f>
        <v>14.452</v>
      </c>
    </row>
    <row r="85" spans="1:7" ht="20.149999999999999" customHeight="1">
      <c r="A85" s="13"/>
      <c r="B85" s="14"/>
      <c r="C85" s="15">
        <v>11.141</v>
      </c>
      <c r="D85" s="15">
        <v>12.19</v>
      </c>
      <c r="E85" s="15">
        <v>11.24</v>
      </c>
      <c r="F85" s="15">
        <v>12.12</v>
      </c>
      <c r="G85" s="15" cm="1">
        <f t="array" ref="G85">C85+3.32</f>
        <v>14.461</v>
      </c>
    </row>
    <row r="86" spans="1:7" ht="20.149999999999999" customHeight="1">
      <c r="A86" s="13"/>
      <c r="B86" s="14"/>
      <c r="C86" s="15">
        <v>11.153</v>
      </c>
      <c r="D86" s="15">
        <v>12.18</v>
      </c>
      <c r="E86" s="15">
        <v>11.25</v>
      </c>
      <c r="F86" s="15">
        <v>12.11</v>
      </c>
      <c r="G86" s="15" cm="1">
        <f t="array" ref="G86">C86+3.32</f>
        <v>14.473000000000001</v>
      </c>
    </row>
    <row r="87" spans="1:7" ht="20.149999999999999" customHeight="1">
      <c r="A87" s="13"/>
      <c r="B87" s="14"/>
      <c r="C87" s="15">
        <v>11.157</v>
      </c>
      <c r="D87" s="15">
        <v>12.17</v>
      </c>
      <c r="E87" s="15">
        <v>11.26</v>
      </c>
      <c r="F87" s="15">
        <v>12.1</v>
      </c>
      <c r="G87" s="15" cm="1">
        <f t="array" ref="G87">C87+3.32</f>
        <v>14.477</v>
      </c>
    </row>
    <row r="88" spans="1:7" ht="20.149999999999999" customHeight="1">
      <c r="A88" s="13"/>
      <c r="B88" s="14"/>
      <c r="C88" s="15">
        <v>11.169</v>
      </c>
      <c r="D88" s="15">
        <v>12.16</v>
      </c>
      <c r="E88" s="15">
        <v>11.26</v>
      </c>
      <c r="F88" s="15">
        <v>12.09</v>
      </c>
      <c r="G88" s="15" cm="1">
        <f t="array" ref="G88">C88+3.32</f>
        <v>14.489000000000001</v>
      </c>
    </row>
    <row r="89" spans="1:7" ht="20.149999999999999" customHeight="1">
      <c r="A89" s="13"/>
      <c r="B89" s="14"/>
      <c r="C89" s="15">
        <v>11.178000000000001</v>
      </c>
      <c r="D89" s="15">
        <v>12.15</v>
      </c>
      <c r="E89" s="15">
        <v>11.27</v>
      </c>
      <c r="F89" s="15">
        <v>12.08</v>
      </c>
      <c r="G89" s="15" cm="1">
        <f t="array" ref="G89">C89+3.32</f>
        <v>14.498000000000001</v>
      </c>
    </row>
    <row r="90" spans="1:7" ht="20.149999999999999" customHeight="1">
      <c r="A90" s="13"/>
      <c r="B90" s="14"/>
      <c r="C90" s="15">
        <v>11.186999999999999</v>
      </c>
      <c r="D90" s="15">
        <v>12.14</v>
      </c>
      <c r="E90" s="15">
        <v>11.28</v>
      </c>
      <c r="F90" s="15">
        <v>12.07</v>
      </c>
      <c r="G90" s="15" cm="1">
        <f t="array" ref="G90">C90+3.32</f>
        <v>14.507</v>
      </c>
    </row>
    <row r="91" spans="1:7" ht="20.149999999999999" customHeight="1">
      <c r="A91" s="13"/>
      <c r="B91" s="14"/>
      <c r="C91" s="15">
        <v>11.196999999999999</v>
      </c>
      <c r="D91" s="15">
        <v>12.13</v>
      </c>
      <c r="E91" s="15">
        <v>11.28</v>
      </c>
      <c r="F91" s="15">
        <v>12.06</v>
      </c>
      <c r="G91" s="15" cm="1">
        <f t="array" ref="G91">C91+3.32</f>
        <v>14.516999999999999</v>
      </c>
    </row>
    <row r="92" spans="1:7" ht="20.149999999999999" customHeight="1">
      <c r="A92" s="13"/>
      <c r="B92" s="14"/>
      <c r="C92" s="15">
        <v>11.205</v>
      </c>
      <c r="D92" s="15">
        <v>12.12</v>
      </c>
      <c r="E92" s="15">
        <v>11.29</v>
      </c>
      <c r="F92" s="15">
        <v>12.05</v>
      </c>
      <c r="G92" s="15" cm="1">
        <f t="array" ref="G92">C92+3.32</f>
        <v>14.525</v>
      </c>
    </row>
    <row r="93" spans="1:7" ht="20.149999999999999" customHeight="1">
      <c r="A93" s="13"/>
      <c r="B93" s="14"/>
      <c r="C93" s="15">
        <v>11.211</v>
      </c>
      <c r="D93" s="15">
        <v>12.11</v>
      </c>
      <c r="E93" s="15">
        <v>11.3</v>
      </c>
      <c r="F93" s="15">
        <v>12.04</v>
      </c>
      <c r="G93" s="15" cm="1">
        <f t="array" ref="G93">C93+3.32</f>
        <v>14.531000000000001</v>
      </c>
    </row>
    <row r="94" spans="1:7" ht="20.149999999999999" customHeight="1">
      <c r="A94" s="13"/>
      <c r="B94" s="14"/>
      <c r="C94" s="15">
        <v>11.218999999999999</v>
      </c>
      <c r="D94" s="15">
        <v>12.1</v>
      </c>
      <c r="E94" s="15">
        <v>11.31</v>
      </c>
      <c r="F94" s="15">
        <v>12.03</v>
      </c>
      <c r="G94" s="15" cm="1">
        <f t="array" ref="G94">C94+3.32</f>
        <v>14.539</v>
      </c>
    </row>
    <row r="95" spans="1:7" ht="20.149999999999999" customHeight="1">
      <c r="A95" s="13"/>
      <c r="B95" s="14"/>
      <c r="C95" s="15">
        <v>11.224</v>
      </c>
      <c r="D95" s="15">
        <v>12.09</v>
      </c>
      <c r="E95" s="15">
        <v>11.32</v>
      </c>
      <c r="F95" s="15">
        <v>12.02</v>
      </c>
      <c r="G95" s="15" cm="1">
        <f t="array" ref="G95">C95+3.32</f>
        <v>14.544</v>
      </c>
    </row>
    <row r="96" spans="1:7" ht="20.149999999999999" customHeight="1">
      <c r="A96" s="13"/>
      <c r="B96" s="14"/>
      <c r="C96" s="15">
        <v>11.234</v>
      </c>
      <c r="D96" s="15">
        <v>12.08</v>
      </c>
      <c r="E96" s="15">
        <v>11.32</v>
      </c>
      <c r="F96" s="15">
        <v>12.01</v>
      </c>
      <c r="G96" s="15" cm="1">
        <f t="array" ref="G96">C96+3.32</f>
        <v>14.554</v>
      </c>
    </row>
    <row r="97" spans="1:7" ht="20.149999999999999" customHeight="1">
      <c r="A97" s="13"/>
      <c r="B97" s="14"/>
      <c r="C97" s="15">
        <v>11.241</v>
      </c>
      <c r="D97" s="15">
        <v>12.07</v>
      </c>
      <c r="E97" s="15">
        <v>11.32</v>
      </c>
      <c r="F97" s="15">
        <v>12</v>
      </c>
      <c r="G97" s="15" cm="1">
        <f t="array" ref="G97">C97+3.32</f>
        <v>14.561</v>
      </c>
    </row>
    <row r="98" spans="1:7" ht="20.149999999999999" customHeight="1">
      <c r="A98" s="13"/>
      <c r="B98" s="14"/>
      <c r="C98" s="15">
        <v>11.249000000000001</v>
      </c>
      <c r="D98" s="15">
        <v>12.06</v>
      </c>
      <c r="E98" s="16"/>
      <c r="F98" s="16"/>
      <c r="G98" s="15" cm="1">
        <f t="array" ref="G98">C98+3.32</f>
        <v>14.569000000000001</v>
      </c>
    </row>
    <row r="99" spans="1:7" ht="20.149999999999999" customHeight="1">
      <c r="A99" s="13"/>
      <c r="B99" s="14"/>
      <c r="C99" s="15">
        <v>11.256</v>
      </c>
      <c r="D99" s="15">
        <v>12.05</v>
      </c>
      <c r="E99" s="16"/>
      <c r="F99" s="16"/>
      <c r="G99" s="15" cm="1">
        <f t="array" ref="G99">C99+3.32</f>
        <v>14.576000000000001</v>
      </c>
    </row>
    <row r="100" spans="1:7" ht="20.149999999999999" customHeight="1">
      <c r="A100" s="13"/>
      <c r="B100" s="14"/>
      <c r="C100" s="15">
        <v>11.266</v>
      </c>
      <c r="D100" s="15">
        <v>12.04</v>
      </c>
      <c r="E100" s="16"/>
      <c r="F100" s="16"/>
      <c r="G100" s="15" cm="1">
        <f t="array" ref="G100">C100+3.32</f>
        <v>14.586</v>
      </c>
    </row>
    <row r="101" spans="1:7" ht="20.149999999999999" customHeight="1">
      <c r="A101" s="13"/>
      <c r="B101" s="14"/>
      <c r="C101" s="15">
        <v>11.273</v>
      </c>
      <c r="D101" s="15">
        <v>12.03</v>
      </c>
      <c r="E101" s="16"/>
      <c r="F101" s="16"/>
      <c r="G101" s="15" cm="1">
        <f t="array" ref="G101">C101+3.32</f>
        <v>14.593</v>
      </c>
    </row>
    <row r="102" spans="1:7" ht="20.149999999999999" customHeight="1">
      <c r="A102" s="13"/>
      <c r="B102" s="14"/>
      <c r="C102" s="15">
        <v>11.281000000000001</v>
      </c>
      <c r="D102" s="15">
        <v>12.02</v>
      </c>
      <c r="E102" s="16"/>
      <c r="F102" s="16"/>
      <c r="G102" s="15" cm="1">
        <f t="array" ref="G102">C102+3.32</f>
        <v>14.601000000000001</v>
      </c>
    </row>
    <row r="103" spans="1:7" ht="20.149999999999999" customHeight="1">
      <c r="A103" s="13"/>
      <c r="B103" s="14"/>
      <c r="C103" s="15">
        <v>11.289</v>
      </c>
      <c r="D103" s="15">
        <v>12.01</v>
      </c>
      <c r="E103" s="16"/>
      <c r="F103" s="16"/>
      <c r="G103" s="15" cm="1">
        <f t="array" ref="G103">C103+3.32</f>
        <v>14.609</v>
      </c>
    </row>
    <row r="104" spans="1:7" ht="20.149999999999999" customHeight="1">
      <c r="A104" s="13"/>
      <c r="B104" s="14"/>
      <c r="C104" s="16"/>
      <c r="D104" s="16"/>
      <c r="E104" s="16"/>
      <c r="F104" s="16"/>
      <c r="G104" s="16"/>
    </row>
    <row r="105" spans="1:7" ht="20.149999999999999" customHeight="1">
      <c r="A105" s="13"/>
      <c r="B105" s="14"/>
      <c r="C105" s="16"/>
      <c r="D105" s="16"/>
      <c r="E105" s="16"/>
      <c r="F105" s="16"/>
      <c r="G105" s="16"/>
    </row>
    <row r="106" spans="1:7" ht="20.149999999999999" customHeight="1">
      <c r="A106" s="13"/>
      <c r="B106" s="14"/>
      <c r="C106" s="16"/>
      <c r="D106" s="16"/>
      <c r="E106" s="16"/>
      <c r="F106" s="16"/>
      <c r="G106" s="16"/>
    </row>
    <row r="107" spans="1:7" ht="20.149999999999999" customHeight="1">
      <c r="A107" s="13"/>
      <c r="B107" s="14"/>
      <c r="C107" s="16"/>
      <c r="D107" s="16"/>
      <c r="E107" s="16"/>
      <c r="F107" s="16"/>
      <c r="G107" s="16"/>
    </row>
    <row r="108" spans="1:7" ht="20.149999999999999" customHeight="1">
      <c r="A108" s="13"/>
      <c r="B108" s="18" t="s">
        <v>11</v>
      </c>
      <c r="C108" s="16"/>
      <c r="D108" s="16"/>
      <c r="E108" s="16"/>
      <c r="F108" s="16"/>
      <c r="G108" s="16"/>
    </row>
    <row r="109" spans="1:7" ht="20.149999999999999" customHeight="1">
      <c r="A109" s="13"/>
      <c r="B109" s="14"/>
      <c r="C109" s="15">
        <v>7.3999999999999996E-2</v>
      </c>
      <c r="D109" s="15">
        <v>12.94</v>
      </c>
      <c r="E109" s="16"/>
      <c r="F109" s="16"/>
      <c r="G109" s="16"/>
    </row>
    <row r="110" spans="1:7" ht="20.149999999999999" customHeight="1">
      <c r="A110" s="13"/>
      <c r="B110" s="14"/>
      <c r="C110" s="15">
        <v>0.84799999999999998</v>
      </c>
      <c r="D110" s="15">
        <v>12.93</v>
      </c>
      <c r="E110" s="16"/>
      <c r="F110" s="16"/>
      <c r="G110" s="16"/>
    </row>
    <row r="111" spans="1:7" ht="20.149999999999999" customHeight="1">
      <c r="A111" s="13"/>
      <c r="B111" s="14"/>
      <c r="C111" s="15">
        <v>1.764</v>
      </c>
      <c r="D111" s="15">
        <v>12.92</v>
      </c>
      <c r="E111" s="16"/>
      <c r="F111" s="16"/>
      <c r="G111" s="16"/>
    </row>
    <row r="112" spans="1:7" ht="20.149999999999999" customHeight="1">
      <c r="A112" s="13"/>
      <c r="B112" s="14"/>
      <c r="C112" s="15">
        <v>2.3780000000000001</v>
      </c>
      <c r="D112" s="15">
        <v>12.91</v>
      </c>
      <c r="E112" s="16"/>
      <c r="F112" s="16"/>
      <c r="G112" s="16"/>
    </row>
    <row r="113" spans="1:7" ht="20.149999999999999" customHeight="1">
      <c r="A113" s="13"/>
      <c r="B113" s="14"/>
      <c r="C113" s="15">
        <v>2.7759999999999998</v>
      </c>
      <c r="D113" s="15">
        <v>12.9</v>
      </c>
      <c r="E113" s="16"/>
      <c r="F113" s="16"/>
      <c r="G113" s="16"/>
    </row>
    <row r="114" spans="1:7" ht="20.149999999999999" customHeight="1">
      <c r="A114" s="13"/>
      <c r="B114" s="14"/>
      <c r="C114" s="15">
        <v>3.0670000000000002</v>
      </c>
      <c r="D114" s="15">
        <v>12.89</v>
      </c>
      <c r="E114" s="16"/>
      <c r="F114" s="16"/>
      <c r="G114" s="16"/>
    </row>
    <row r="115" spans="1:7" ht="20.149999999999999" customHeight="1">
      <c r="A115" s="13"/>
      <c r="B115" s="14"/>
      <c r="C115" s="15">
        <v>3.29</v>
      </c>
      <c r="D115" s="15">
        <v>12.88</v>
      </c>
      <c r="E115" s="16"/>
      <c r="F115" s="16"/>
      <c r="G115" s="16"/>
    </row>
    <row r="116" spans="1:7" ht="20.149999999999999" customHeight="1">
      <c r="A116" s="13"/>
      <c r="B116" s="14"/>
      <c r="C116" s="15">
        <v>3.4529999999999998</v>
      </c>
      <c r="D116" s="15">
        <v>12.87</v>
      </c>
      <c r="E116" s="16"/>
      <c r="F116" s="16"/>
      <c r="G116" s="16"/>
    </row>
    <row r="117" spans="1:7" ht="20.149999999999999" customHeight="1">
      <c r="A117" s="13"/>
      <c r="B117" s="14"/>
      <c r="C117" s="15">
        <v>3.5720000000000001</v>
      </c>
      <c r="D117" s="15">
        <v>12.86</v>
      </c>
      <c r="E117" s="16"/>
      <c r="F117" s="16"/>
      <c r="G117" s="16"/>
    </row>
    <row r="118" spans="1:7" ht="20.149999999999999" customHeight="1">
      <c r="A118" s="13"/>
      <c r="B118" s="14"/>
      <c r="C118" s="15">
        <v>3.718</v>
      </c>
      <c r="D118" s="15">
        <v>12.85</v>
      </c>
      <c r="E118" s="16"/>
      <c r="F118" s="16"/>
      <c r="G118" s="16"/>
    </row>
    <row r="119" spans="1:7" ht="20.149999999999999" customHeight="1">
      <c r="A119" s="13"/>
      <c r="B119" s="14"/>
      <c r="C119" s="15">
        <v>3.7949999999999999</v>
      </c>
      <c r="D119" s="15">
        <v>12.84</v>
      </c>
      <c r="E119" s="16"/>
      <c r="F119" s="16"/>
      <c r="G119" s="16"/>
    </row>
    <row r="120" spans="1:7" ht="20.149999999999999" customHeight="1">
      <c r="A120" s="13"/>
      <c r="B120" s="14"/>
      <c r="C120" s="15">
        <v>3.9409999999999998</v>
      </c>
      <c r="D120" s="15">
        <v>12.83</v>
      </c>
      <c r="E120" s="16"/>
      <c r="F120" s="16"/>
      <c r="G120" s="16"/>
    </row>
    <row r="121" spans="1:7" ht="20.149999999999999" customHeight="1">
      <c r="A121" s="13"/>
      <c r="B121" s="14"/>
      <c r="C121" s="15">
        <v>4.0030000000000001</v>
      </c>
      <c r="D121" s="15">
        <v>12.82</v>
      </c>
      <c r="E121" s="16"/>
      <c r="F121" s="16"/>
      <c r="G121" s="16"/>
    </row>
    <row r="122" spans="1:7" ht="20.149999999999999" customHeight="1">
      <c r="A122" s="13"/>
      <c r="B122" s="14"/>
      <c r="C122" s="15">
        <v>4.1340000000000003</v>
      </c>
      <c r="D122" s="15">
        <v>12.81</v>
      </c>
      <c r="E122" s="16"/>
      <c r="F122" s="16"/>
      <c r="G122" s="16"/>
    </row>
    <row r="123" spans="1:7" ht="20.149999999999999" customHeight="1">
      <c r="A123" s="13"/>
      <c r="B123" s="14"/>
      <c r="C123" s="15">
        <v>4.2640000000000002</v>
      </c>
      <c r="D123" s="15">
        <v>12.8</v>
      </c>
      <c r="E123" s="16"/>
      <c r="F123" s="16"/>
      <c r="G123" s="16"/>
    </row>
    <row r="124" spans="1:7" ht="20.149999999999999" customHeight="1">
      <c r="A124" s="13"/>
      <c r="B124" s="14"/>
      <c r="C124" s="15">
        <v>4.4669999999999996</v>
      </c>
      <c r="D124" s="15">
        <v>12.79</v>
      </c>
      <c r="E124" s="16"/>
      <c r="F124" s="16"/>
      <c r="G124" s="16"/>
    </row>
    <row r="125" spans="1:7" ht="20.149999999999999" customHeight="1">
      <c r="A125" s="13"/>
      <c r="B125" s="14"/>
      <c r="C125" s="15">
        <v>4.782</v>
      </c>
      <c r="D125" s="15">
        <v>12.78</v>
      </c>
      <c r="E125" s="16"/>
      <c r="F125" s="16"/>
      <c r="G125" s="16"/>
    </row>
    <row r="126" spans="1:7" ht="20.149999999999999" customHeight="1">
      <c r="A126" s="13"/>
      <c r="B126" s="14"/>
      <c r="C126" s="15">
        <v>5.085</v>
      </c>
      <c r="D126" s="15">
        <v>12.77</v>
      </c>
      <c r="E126" s="16"/>
      <c r="F126" s="16"/>
      <c r="G126" s="16"/>
    </row>
    <row r="127" spans="1:7" ht="20.149999999999999" customHeight="1">
      <c r="A127" s="13"/>
      <c r="B127" s="14"/>
      <c r="C127" s="15">
        <v>5.5259999999999998</v>
      </c>
      <c r="D127" s="15">
        <v>12.76</v>
      </c>
      <c r="E127" s="16"/>
      <c r="F127" s="16"/>
      <c r="G127" s="16"/>
    </row>
    <row r="128" spans="1:7" ht="20.149999999999999" customHeight="1">
      <c r="A128" s="13"/>
      <c r="B128" s="14"/>
      <c r="C128" s="15">
        <v>6.3179999999999996</v>
      </c>
      <c r="D128" s="15">
        <v>12.75</v>
      </c>
      <c r="E128" s="16"/>
      <c r="F128" s="16"/>
      <c r="G128" s="16"/>
    </row>
    <row r="129" spans="1:7" ht="20.149999999999999" customHeight="1">
      <c r="A129" s="13"/>
      <c r="B129" s="14"/>
      <c r="C129" s="15">
        <v>6.9189999999999996</v>
      </c>
      <c r="D129" s="15">
        <v>12.74</v>
      </c>
      <c r="E129" s="16"/>
      <c r="F129" s="16"/>
      <c r="G129" s="16"/>
    </row>
    <row r="130" spans="1:7" ht="20.149999999999999" customHeight="1">
      <c r="A130" s="13"/>
      <c r="B130" s="14"/>
      <c r="C130" s="15">
        <v>7.266</v>
      </c>
      <c r="D130" s="15">
        <v>12.73</v>
      </c>
      <c r="E130" s="16"/>
      <c r="F130" s="16"/>
      <c r="G130" s="16"/>
    </row>
    <row r="131" spans="1:7" ht="20.149999999999999" customHeight="1">
      <c r="A131" s="13"/>
      <c r="B131" s="14"/>
      <c r="C131" s="15">
        <v>7.4740000000000002</v>
      </c>
      <c r="D131" s="15">
        <v>12.72</v>
      </c>
      <c r="E131" s="16"/>
      <c r="F131" s="16"/>
      <c r="G131" s="16"/>
    </row>
    <row r="132" spans="1:7" ht="20.149999999999999" customHeight="1">
      <c r="A132" s="13"/>
      <c r="B132" s="14"/>
      <c r="C132" s="15">
        <v>7.742</v>
      </c>
      <c r="D132" s="15">
        <v>12.71</v>
      </c>
      <c r="E132" s="16"/>
      <c r="F132" s="16"/>
      <c r="G132" s="16"/>
    </row>
    <row r="133" spans="1:7" ht="20.149999999999999" customHeight="1">
      <c r="A133" s="13"/>
      <c r="B133" s="14"/>
      <c r="C133" s="15">
        <v>7.923</v>
      </c>
      <c r="D133" s="15">
        <v>12.7</v>
      </c>
      <c r="E133" s="16"/>
      <c r="F133" s="16"/>
      <c r="G133" s="16"/>
    </row>
    <row r="134" spans="1:7" ht="20.149999999999999" customHeight="1">
      <c r="A134" s="13"/>
      <c r="B134" s="14"/>
      <c r="C134" s="15">
        <v>8.0259999999999998</v>
      </c>
      <c r="D134" s="15">
        <v>12.69</v>
      </c>
      <c r="E134" s="16"/>
      <c r="F134" s="16"/>
      <c r="G134" s="16"/>
    </row>
    <row r="135" spans="1:7" ht="20.149999999999999" customHeight="1">
      <c r="A135" s="13"/>
      <c r="B135" s="14"/>
      <c r="C135" s="15">
        <v>8.1560000000000006</v>
      </c>
      <c r="D135" s="15">
        <v>12.68</v>
      </c>
      <c r="E135" s="16"/>
      <c r="F135" s="16"/>
      <c r="G135" s="16"/>
    </row>
    <row r="136" spans="1:7" ht="20.149999999999999" customHeight="1">
      <c r="A136" s="13"/>
      <c r="B136" s="14"/>
      <c r="C136" s="15">
        <v>8.2550000000000008</v>
      </c>
      <c r="D136" s="15">
        <v>12.67</v>
      </c>
      <c r="E136" s="16"/>
      <c r="F136" s="16"/>
      <c r="G136" s="16"/>
    </row>
    <row r="137" spans="1:7" ht="20.149999999999999" customHeight="1">
      <c r="A137" s="13"/>
      <c r="B137" s="14"/>
      <c r="C137" s="15">
        <v>8.3439999999999994</v>
      </c>
      <c r="D137" s="15">
        <v>12.66</v>
      </c>
      <c r="E137" s="16"/>
      <c r="F137" s="16"/>
      <c r="G137" s="16"/>
    </row>
    <row r="138" spans="1:7" ht="20.149999999999999" customHeight="1">
      <c r="A138" s="13"/>
      <c r="B138" s="14"/>
      <c r="C138" s="15">
        <v>8.452</v>
      </c>
      <c r="D138" s="15">
        <v>12.65</v>
      </c>
      <c r="E138" s="16"/>
      <c r="F138" s="16"/>
      <c r="G138" s="16"/>
    </row>
    <row r="139" spans="1:7" ht="20.149999999999999" customHeight="1">
      <c r="A139" s="13"/>
      <c r="B139" s="14"/>
      <c r="C139" s="15">
        <v>8.5510000000000002</v>
      </c>
      <c r="D139" s="15">
        <v>12.64</v>
      </c>
      <c r="E139" s="16"/>
      <c r="F139" s="16"/>
      <c r="G139" s="16"/>
    </row>
    <row r="140" spans="1:7" ht="20.149999999999999" customHeight="1">
      <c r="A140" s="13"/>
      <c r="B140" s="14"/>
      <c r="C140" s="15">
        <v>8.6419999999999995</v>
      </c>
      <c r="D140" s="15">
        <v>12.63</v>
      </c>
      <c r="E140" s="16"/>
      <c r="F140" s="16"/>
      <c r="G140" s="16"/>
    </row>
    <row r="141" spans="1:7" ht="20.149999999999999" customHeight="1">
      <c r="A141" s="13"/>
      <c r="B141" s="14"/>
      <c r="C141" s="15">
        <v>8.718</v>
      </c>
      <c r="D141" s="15">
        <v>12.62</v>
      </c>
      <c r="E141" s="16"/>
      <c r="F141" s="16"/>
      <c r="G141" s="16"/>
    </row>
    <row r="142" spans="1:7" ht="20.149999999999999" customHeight="1">
      <c r="A142" s="13"/>
      <c r="B142" s="14"/>
      <c r="C142" s="15">
        <v>8.8040000000000003</v>
      </c>
      <c r="D142" s="15">
        <v>12.61</v>
      </c>
      <c r="E142" s="16"/>
      <c r="F142" s="16"/>
      <c r="G142" s="16"/>
    </row>
    <row r="143" spans="1:7" ht="20.149999999999999" customHeight="1">
      <c r="A143" s="13"/>
      <c r="B143" s="14"/>
      <c r="C143" s="15">
        <v>8.9280000000000008</v>
      </c>
      <c r="D143" s="15">
        <v>12.6</v>
      </c>
      <c r="E143" s="16"/>
      <c r="F143" s="16"/>
      <c r="G143" s="16"/>
    </row>
    <row r="144" spans="1:7" ht="20.149999999999999" customHeight="1">
      <c r="A144" s="13"/>
      <c r="B144" s="14"/>
      <c r="C144" s="15">
        <v>8.984</v>
      </c>
      <c r="D144" s="15">
        <v>12.59</v>
      </c>
      <c r="E144" s="16"/>
      <c r="F144" s="16"/>
      <c r="G144" s="16"/>
    </row>
    <row r="145" spans="1:7" ht="20.149999999999999" customHeight="1">
      <c r="A145" s="13"/>
      <c r="B145" s="14"/>
      <c r="C145" s="15">
        <v>9.1329999999999991</v>
      </c>
      <c r="D145" s="15">
        <v>12.58</v>
      </c>
      <c r="E145" s="16"/>
      <c r="F145" s="16"/>
      <c r="G145" s="16"/>
    </row>
    <row r="146" spans="1:7" ht="20.149999999999999" customHeight="1">
      <c r="A146" s="13"/>
      <c r="B146" s="14"/>
      <c r="C146" s="15">
        <v>9.2330000000000005</v>
      </c>
      <c r="D146" s="15">
        <v>12.57</v>
      </c>
      <c r="E146" s="16"/>
      <c r="F146" s="16"/>
      <c r="G146" s="16"/>
    </row>
    <row r="147" spans="1:7" ht="20.149999999999999" customHeight="1">
      <c r="A147" s="13"/>
      <c r="B147" s="14"/>
      <c r="C147" s="15">
        <v>9.3160000000000007</v>
      </c>
      <c r="D147" s="15">
        <v>12.56</v>
      </c>
      <c r="E147" s="16"/>
      <c r="F147" s="16"/>
      <c r="G147" s="16"/>
    </row>
    <row r="148" spans="1:7" ht="20.149999999999999" customHeight="1">
      <c r="A148" s="13"/>
      <c r="B148" s="14"/>
      <c r="C148" s="15">
        <v>9.3870000000000005</v>
      </c>
      <c r="D148" s="15">
        <v>12.55</v>
      </c>
      <c r="E148" s="16"/>
      <c r="F148" s="16"/>
      <c r="G148" s="16"/>
    </row>
    <row r="149" spans="1:7" ht="20.149999999999999" customHeight="1">
      <c r="A149" s="13"/>
      <c r="B149" s="14"/>
      <c r="C149" s="15">
        <v>9.44</v>
      </c>
      <c r="D149" s="15">
        <v>12.54</v>
      </c>
      <c r="E149" s="16"/>
      <c r="F149" s="16"/>
      <c r="G149" s="16"/>
    </row>
    <row r="150" spans="1:7" ht="20.149999999999999" customHeight="1">
      <c r="A150" s="13"/>
      <c r="B150" s="14"/>
      <c r="C150" s="15">
        <v>9.5109999999999992</v>
      </c>
      <c r="D150" s="15">
        <v>12.53</v>
      </c>
      <c r="E150" s="16"/>
      <c r="F150" s="16"/>
      <c r="G150" s="16"/>
    </row>
    <row r="151" spans="1:7" ht="20.149999999999999" customHeight="1">
      <c r="A151" s="13"/>
      <c r="B151" s="14"/>
      <c r="C151" s="15">
        <v>9.5820000000000007</v>
      </c>
      <c r="D151" s="15">
        <v>12.52</v>
      </c>
      <c r="E151" s="16"/>
      <c r="F151" s="16"/>
      <c r="G151" s="16"/>
    </row>
    <row r="152" spans="1:7" ht="20.149999999999999" customHeight="1">
      <c r="A152" s="13"/>
      <c r="B152" s="14"/>
      <c r="C152" s="15">
        <v>9.6519999999999992</v>
      </c>
      <c r="D152" s="15">
        <v>12.51</v>
      </c>
      <c r="E152" s="16"/>
      <c r="F152" s="16"/>
      <c r="G152" s="16"/>
    </row>
    <row r="153" spans="1:7" ht="20.149999999999999" customHeight="1">
      <c r="A153" s="13"/>
      <c r="B153" s="14"/>
      <c r="C153" s="15">
        <v>9.7200000000000006</v>
      </c>
      <c r="D153" s="15">
        <v>12.5</v>
      </c>
      <c r="E153" s="16"/>
      <c r="F153" s="16"/>
      <c r="G153" s="16"/>
    </row>
    <row r="154" spans="1:7" ht="20.149999999999999" customHeight="1">
      <c r="A154" s="13"/>
      <c r="B154" s="14"/>
      <c r="C154" s="15">
        <v>9.7840000000000007</v>
      </c>
      <c r="D154" s="15">
        <v>12.49</v>
      </c>
      <c r="E154" s="16"/>
      <c r="F154" s="16"/>
      <c r="G154" s="16"/>
    </row>
    <row r="155" spans="1:7" ht="20.149999999999999" customHeight="1">
      <c r="A155" s="13"/>
      <c r="B155" s="14"/>
      <c r="C155" s="15">
        <v>9.8230000000000004</v>
      </c>
      <c r="D155" s="15">
        <v>12.48</v>
      </c>
      <c r="E155" s="16"/>
      <c r="F155" s="16"/>
      <c r="G155" s="16"/>
    </row>
    <row r="156" spans="1:7" ht="20.149999999999999" customHeight="1">
      <c r="A156" s="13"/>
      <c r="B156" s="14"/>
      <c r="C156" s="15">
        <v>9.8810000000000002</v>
      </c>
      <c r="D156" s="15">
        <v>12.47</v>
      </c>
      <c r="E156" s="16"/>
      <c r="F156" s="16"/>
      <c r="G156" s="16"/>
    </row>
    <row r="157" spans="1:7" ht="20.149999999999999" customHeight="1">
      <c r="A157" s="13"/>
      <c r="B157" s="14"/>
      <c r="C157" s="15">
        <v>9.9649999999999999</v>
      </c>
      <c r="D157" s="15">
        <v>12.46</v>
      </c>
      <c r="E157" s="16"/>
      <c r="F157" s="16"/>
      <c r="G157" s="16"/>
    </row>
    <row r="158" spans="1:7" ht="20.149999999999999" customHeight="1">
      <c r="A158" s="13"/>
      <c r="B158" s="14"/>
      <c r="C158" s="15">
        <v>10.01</v>
      </c>
      <c r="D158" s="15">
        <v>12.45</v>
      </c>
      <c r="E158" s="16"/>
      <c r="F158" s="16"/>
      <c r="G158" s="16"/>
    </row>
    <row r="159" spans="1:7" ht="20.149999999999999" customHeight="1">
      <c r="A159" s="13"/>
      <c r="B159" s="14"/>
      <c r="C159" s="15">
        <v>10.039999999999999</v>
      </c>
      <c r="D159" s="15">
        <v>12.44</v>
      </c>
      <c r="E159" s="16"/>
      <c r="F159" s="16"/>
      <c r="G159" s="16"/>
    </row>
    <row r="160" spans="1:7" ht="20.149999999999999" customHeight="1">
      <c r="A160" s="13"/>
      <c r="B160" s="14"/>
      <c r="C160" s="15">
        <v>10.08</v>
      </c>
      <c r="D160" s="15">
        <v>12.43</v>
      </c>
      <c r="E160" s="16"/>
      <c r="F160" s="16"/>
      <c r="G160" s="16"/>
    </row>
    <row r="161" spans="1:7" ht="20.149999999999999" customHeight="1">
      <c r="A161" s="13"/>
      <c r="B161" s="14"/>
      <c r="C161" s="15">
        <v>10.16</v>
      </c>
      <c r="D161" s="15">
        <v>12.42</v>
      </c>
      <c r="E161" s="16"/>
      <c r="F161" s="16"/>
      <c r="G161" s="16"/>
    </row>
    <row r="162" spans="1:7" ht="20.149999999999999" customHeight="1">
      <c r="A162" s="13"/>
      <c r="B162" s="14"/>
      <c r="C162" s="15">
        <v>10.19</v>
      </c>
      <c r="D162" s="15">
        <v>12.41</v>
      </c>
      <c r="E162" s="16"/>
      <c r="F162" s="16"/>
      <c r="G162" s="16"/>
    </row>
    <row r="163" spans="1:7" ht="20.149999999999999" customHeight="1">
      <c r="A163" s="13"/>
      <c r="B163" s="14"/>
      <c r="C163" s="15">
        <v>10.220000000000001</v>
      </c>
      <c r="D163" s="15">
        <v>12.4</v>
      </c>
      <c r="E163" s="16"/>
      <c r="F163" s="16"/>
      <c r="G163" s="16"/>
    </row>
    <row r="164" spans="1:7" ht="20.149999999999999" customHeight="1">
      <c r="A164" s="13"/>
      <c r="B164" s="14"/>
      <c r="C164" s="15">
        <v>10.29</v>
      </c>
      <c r="D164" s="15">
        <v>12.39</v>
      </c>
      <c r="E164" s="16"/>
      <c r="F164" s="16"/>
      <c r="G164" s="16"/>
    </row>
    <row r="165" spans="1:7" ht="20.149999999999999" customHeight="1">
      <c r="A165" s="13"/>
      <c r="B165" s="14"/>
      <c r="C165" s="15">
        <v>10.34</v>
      </c>
      <c r="D165" s="15">
        <v>12.38</v>
      </c>
      <c r="E165" s="16"/>
      <c r="F165" s="16"/>
      <c r="G165" s="16"/>
    </row>
    <row r="166" spans="1:7" ht="20.149999999999999" customHeight="1">
      <c r="A166" s="13"/>
      <c r="B166" s="14"/>
      <c r="C166" s="15">
        <v>10.48</v>
      </c>
      <c r="D166" s="15">
        <v>12.37</v>
      </c>
      <c r="E166" s="16"/>
      <c r="F166" s="16"/>
      <c r="G166" s="16"/>
    </row>
    <row r="167" spans="1:7" ht="20.149999999999999" customHeight="1">
      <c r="A167" s="13"/>
      <c r="B167" s="14"/>
      <c r="C167" s="15">
        <v>10.64</v>
      </c>
      <c r="D167" s="15">
        <v>12.36</v>
      </c>
      <c r="E167" s="16"/>
      <c r="F167" s="16"/>
      <c r="G167" s="16"/>
    </row>
    <row r="168" spans="1:7" ht="20.149999999999999" customHeight="1">
      <c r="A168" s="13"/>
      <c r="B168" s="14"/>
      <c r="C168" s="15">
        <v>10.72</v>
      </c>
      <c r="D168" s="15">
        <v>12.35</v>
      </c>
      <c r="E168" s="16"/>
      <c r="F168" s="16"/>
      <c r="G168" s="16"/>
    </row>
    <row r="169" spans="1:7" ht="20.149999999999999" customHeight="1">
      <c r="A169" s="13"/>
      <c r="B169" s="14"/>
      <c r="C169" s="15">
        <v>10.8</v>
      </c>
      <c r="D169" s="15">
        <v>12.34</v>
      </c>
      <c r="E169" s="16"/>
      <c r="F169" s="16"/>
      <c r="G169" s="16"/>
    </row>
    <row r="170" spans="1:7" ht="20.149999999999999" customHeight="1">
      <c r="A170" s="13"/>
      <c r="B170" s="14"/>
      <c r="C170" s="15">
        <v>10.88</v>
      </c>
      <c r="D170" s="15">
        <v>12.33</v>
      </c>
      <c r="E170" s="16"/>
      <c r="F170" s="16"/>
      <c r="G170" s="16"/>
    </row>
    <row r="171" spans="1:7" ht="20.149999999999999" customHeight="1">
      <c r="A171" s="13"/>
      <c r="B171" s="14"/>
      <c r="C171" s="15">
        <v>10.93</v>
      </c>
      <c r="D171" s="15">
        <v>12.32</v>
      </c>
      <c r="E171" s="16"/>
      <c r="F171" s="16"/>
      <c r="G171" s="16"/>
    </row>
    <row r="172" spans="1:7" ht="20.149999999999999" customHeight="1">
      <c r="A172" s="13"/>
      <c r="B172" s="14"/>
      <c r="C172" s="15">
        <v>10.97</v>
      </c>
      <c r="D172" s="15">
        <v>12.31</v>
      </c>
      <c r="E172" s="16"/>
      <c r="F172" s="16"/>
      <c r="G172" s="16"/>
    </row>
    <row r="173" spans="1:7" ht="20.149999999999999" customHeight="1">
      <c r="A173" s="13"/>
      <c r="B173" s="14"/>
      <c r="C173" s="15">
        <v>10.99</v>
      </c>
      <c r="D173" s="15">
        <v>12.3</v>
      </c>
      <c r="E173" s="16"/>
      <c r="F173" s="16"/>
      <c r="G173" s="16"/>
    </row>
    <row r="174" spans="1:7" ht="20.149999999999999" customHeight="1">
      <c r="A174" s="13"/>
      <c r="B174" s="14"/>
      <c r="C174" s="15">
        <v>11.03</v>
      </c>
      <c r="D174" s="15">
        <v>12.29</v>
      </c>
      <c r="E174" s="16"/>
      <c r="F174" s="16"/>
      <c r="G174" s="16"/>
    </row>
    <row r="175" spans="1:7" ht="20.149999999999999" customHeight="1">
      <c r="A175" s="13"/>
      <c r="B175" s="14"/>
      <c r="C175" s="15">
        <v>11.05</v>
      </c>
      <c r="D175" s="15">
        <v>12.28</v>
      </c>
      <c r="E175" s="16"/>
      <c r="F175" s="16"/>
      <c r="G175" s="16"/>
    </row>
    <row r="176" spans="1:7" ht="20.149999999999999" customHeight="1">
      <c r="A176" s="13"/>
      <c r="B176" s="14"/>
      <c r="C176" s="15">
        <v>11.07</v>
      </c>
      <c r="D176" s="15">
        <v>12.27</v>
      </c>
      <c r="E176" s="16"/>
      <c r="F176" s="16"/>
      <c r="G176" s="16"/>
    </row>
    <row r="177" spans="1:7" ht="20.149999999999999" customHeight="1">
      <c r="A177" s="13"/>
      <c r="B177" s="14"/>
      <c r="C177" s="15">
        <v>11.09</v>
      </c>
      <c r="D177" s="15">
        <v>12.26</v>
      </c>
      <c r="E177" s="16"/>
      <c r="F177" s="16"/>
      <c r="G177" s="16"/>
    </row>
    <row r="178" spans="1:7" ht="20.149999999999999" customHeight="1">
      <c r="A178" s="13"/>
      <c r="B178" s="14"/>
      <c r="C178" s="15">
        <v>11.1</v>
      </c>
      <c r="D178" s="15">
        <v>12.25</v>
      </c>
      <c r="E178" s="16"/>
      <c r="F178" s="16"/>
      <c r="G178" s="16"/>
    </row>
    <row r="179" spans="1:7" ht="20.149999999999999" customHeight="1">
      <c r="A179" s="13"/>
      <c r="B179" s="14"/>
      <c r="C179" s="15">
        <v>11.12</v>
      </c>
      <c r="D179" s="15">
        <v>12.24</v>
      </c>
      <c r="E179" s="16"/>
      <c r="F179" s="16"/>
      <c r="G179" s="16"/>
    </row>
    <row r="180" spans="1:7" ht="20.149999999999999" customHeight="1">
      <c r="A180" s="13"/>
      <c r="B180" s="14"/>
      <c r="C180" s="15">
        <v>11.13</v>
      </c>
      <c r="D180" s="15">
        <v>12.23</v>
      </c>
      <c r="E180" s="16"/>
      <c r="F180" s="16"/>
      <c r="G180" s="16"/>
    </row>
    <row r="181" spans="1:7" ht="20.149999999999999" customHeight="1">
      <c r="A181" s="13"/>
      <c r="B181" s="14"/>
      <c r="C181" s="15">
        <v>11.14</v>
      </c>
      <c r="D181" s="15">
        <v>12.22</v>
      </c>
      <c r="E181" s="16"/>
      <c r="F181" s="16"/>
      <c r="G181" s="16"/>
    </row>
    <row r="182" spans="1:7" ht="20.149999999999999" customHeight="1">
      <c r="A182" s="13"/>
      <c r="B182" s="14"/>
      <c r="C182" s="15">
        <v>11.15</v>
      </c>
      <c r="D182" s="15">
        <v>12.21</v>
      </c>
      <c r="E182" s="16"/>
      <c r="F182" s="16"/>
      <c r="G182" s="16"/>
    </row>
    <row r="183" spans="1:7" ht="20.149999999999999" customHeight="1">
      <c r="A183" s="13"/>
      <c r="B183" s="14"/>
      <c r="C183" s="15">
        <v>11.17</v>
      </c>
      <c r="D183" s="15">
        <v>12.2</v>
      </c>
      <c r="E183" s="16"/>
      <c r="F183" s="16"/>
      <c r="G183" s="16"/>
    </row>
    <row r="184" spans="1:7" ht="20.149999999999999" customHeight="1">
      <c r="A184" s="13"/>
      <c r="B184" s="14"/>
      <c r="C184" s="15">
        <v>11.17</v>
      </c>
      <c r="D184" s="15">
        <v>12.19</v>
      </c>
      <c r="E184" s="16"/>
      <c r="F184" s="16"/>
      <c r="G184" s="16"/>
    </row>
    <row r="185" spans="1:7" ht="20.149999999999999" customHeight="1">
      <c r="A185" s="13"/>
      <c r="B185" s="14"/>
      <c r="C185" s="15">
        <v>11.19</v>
      </c>
      <c r="D185" s="15">
        <v>12.18</v>
      </c>
      <c r="E185" s="16"/>
      <c r="F185" s="16"/>
      <c r="G185" s="16"/>
    </row>
    <row r="186" spans="1:7" ht="20.149999999999999" customHeight="1">
      <c r="A186" s="13"/>
      <c r="B186" s="14"/>
      <c r="C186" s="15">
        <v>11.19</v>
      </c>
      <c r="D186" s="15">
        <v>12.17</v>
      </c>
      <c r="E186" s="16"/>
      <c r="F186" s="16"/>
      <c r="G186" s="16"/>
    </row>
    <row r="187" spans="1:7" ht="20.149999999999999" customHeight="1">
      <c r="A187" s="13"/>
      <c r="B187" s="14"/>
      <c r="C187" s="15">
        <v>11.21</v>
      </c>
      <c r="D187" s="15">
        <v>12.16</v>
      </c>
      <c r="E187" s="16"/>
      <c r="F187" s="16"/>
      <c r="G187" s="16"/>
    </row>
    <row r="188" spans="1:7" ht="20.149999999999999" customHeight="1">
      <c r="A188" s="13"/>
      <c r="B188" s="14"/>
      <c r="C188" s="15">
        <v>11.22</v>
      </c>
      <c r="D188" s="15">
        <v>12.15</v>
      </c>
      <c r="E188" s="16"/>
      <c r="F188" s="16"/>
      <c r="G188" s="16"/>
    </row>
    <row r="189" spans="1:7" ht="20.149999999999999" customHeight="1">
      <c r="A189" s="13"/>
      <c r="B189" s="14"/>
      <c r="C189" s="15">
        <v>11.22</v>
      </c>
      <c r="D189" s="15">
        <v>12.14</v>
      </c>
      <c r="E189" s="16"/>
      <c r="F189" s="16"/>
      <c r="G189" s="16"/>
    </row>
    <row r="190" spans="1:7" ht="20.149999999999999" customHeight="1">
      <c r="A190" s="13"/>
      <c r="B190" s="14"/>
      <c r="C190" s="15">
        <v>11.23</v>
      </c>
      <c r="D190" s="15">
        <v>12.13</v>
      </c>
      <c r="E190" s="16"/>
      <c r="F190" s="16"/>
      <c r="G190" s="16"/>
    </row>
    <row r="191" spans="1:7" ht="20.149999999999999" customHeight="1">
      <c r="A191" s="13"/>
      <c r="B191" s="14"/>
      <c r="C191" s="15">
        <v>11.24</v>
      </c>
      <c r="D191" s="15">
        <v>12.12</v>
      </c>
      <c r="E191" s="16"/>
      <c r="F191" s="16"/>
      <c r="G191" s="16"/>
    </row>
    <row r="192" spans="1:7" ht="20.149999999999999" customHeight="1">
      <c r="A192" s="13"/>
      <c r="B192" s="14"/>
      <c r="C192" s="15">
        <v>11.25</v>
      </c>
      <c r="D192" s="15">
        <v>12.11</v>
      </c>
      <c r="E192" s="16"/>
      <c r="F192" s="16"/>
      <c r="G192" s="16"/>
    </row>
    <row r="193" spans="1:7" ht="20.149999999999999" customHeight="1">
      <c r="A193" s="13"/>
      <c r="B193" s="14"/>
      <c r="C193" s="15">
        <v>11.26</v>
      </c>
      <c r="D193" s="15">
        <v>12.1</v>
      </c>
      <c r="E193" s="16"/>
      <c r="F193" s="16"/>
      <c r="G193" s="16"/>
    </row>
    <row r="194" spans="1:7" ht="20.149999999999999" customHeight="1">
      <c r="A194" s="13"/>
      <c r="B194" s="14"/>
      <c r="C194" s="15">
        <v>11.26</v>
      </c>
      <c r="D194" s="15">
        <v>12.09</v>
      </c>
      <c r="E194" s="16"/>
      <c r="F194" s="16"/>
      <c r="G194" s="16"/>
    </row>
    <row r="195" spans="1:7" ht="20.149999999999999" customHeight="1">
      <c r="A195" s="13"/>
      <c r="B195" s="14"/>
      <c r="C195" s="15">
        <v>11.27</v>
      </c>
      <c r="D195" s="15">
        <v>12.08</v>
      </c>
      <c r="E195" s="16"/>
      <c r="F195" s="16"/>
      <c r="G195" s="16"/>
    </row>
    <row r="196" spans="1:7" ht="20.149999999999999" customHeight="1">
      <c r="A196" s="13"/>
      <c r="B196" s="14"/>
      <c r="C196" s="15">
        <v>11.28</v>
      </c>
      <c r="D196" s="15">
        <v>12.07</v>
      </c>
      <c r="E196" s="16"/>
      <c r="F196" s="16"/>
      <c r="G196" s="16"/>
    </row>
    <row r="197" spans="1:7" ht="20.149999999999999" customHeight="1">
      <c r="A197" s="13"/>
      <c r="B197" s="14"/>
      <c r="C197" s="15">
        <v>11.28</v>
      </c>
      <c r="D197" s="15">
        <v>12.06</v>
      </c>
      <c r="E197" s="16"/>
      <c r="F197" s="16"/>
      <c r="G197" s="16"/>
    </row>
    <row r="198" spans="1:7" ht="20.149999999999999" customHeight="1">
      <c r="A198" s="13"/>
      <c r="B198" s="14"/>
      <c r="C198" s="15">
        <v>11.29</v>
      </c>
      <c r="D198" s="15">
        <v>12.05</v>
      </c>
      <c r="E198" s="16"/>
      <c r="F198" s="16"/>
      <c r="G198" s="16"/>
    </row>
    <row r="199" spans="1:7" ht="20.149999999999999" customHeight="1">
      <c r="A199" s="13"/>
      <c r="B199" s="14"/>
      <c r="C199" s="15">
        <v>11.3</v>
      </c>
      <c r="D199" s="15">
        <v>12.04</v>
      </c>
      <c r="E199" s="16"/>
      <c r="F199" s="16"/>
      <c r="G199" s="16"/>
    </row>
    <row r="200" spans="1:7" ht="20.149999999999999" customHeight="1">
      <c r="A200" s="13"/>
      <c r="B200" s="14"/>
      <c r="C200" s="15">
        <v>11.31</v>
      </c>
      <c r="D200" s="15">
        <v>12.03</v>
      </c>
      <c r="E200" s="16"/>
      <c r="F200" s="16"/>
      <c r="G200" s="16"/>
    </row>
    <row r="201" spans="1:7" ht="20.149999999999999" customHeight="1">
      <c r="A201" s="13"/>
      <c r="B201" s="14"/>
      <c r="C201" s="15">
        <v>11.32</v>
      </c>
      <c r="D201" s="15">
        <v>12.02</v>
      </c>
      <c r="E201" s="16"/>
      <c r="F201" s="16"/>
      <c r="G201" s="16"/>
    </row>
    <row r="202" spans="1:7" ht="20.149999999999999" customHeight="1">
      <c r="A202" s="13"/>
      <c r="B202" s="14"/>
      <c r="C202" s="15">
        <v>11.32</v>
      </c>
      <c r="D202" s="15">
        <v>12.01</v>
      </c>
      <c r="E202" s="16"/>
      <c r="F202" s="16"/>
      <c r="G202" s="16"/>
    </row>
    <row r="203" spans="1:7" ht="20.149999999999999" customHeight="1">
      <c r="A203" s="13"/>
      <c r="B203" s="14"/>
      <c r="C203" s="15">
        <v>11.32</v>
      </c>
      <c r="D203" s="15">
        <v>12</v>
      </c>
      <c r="E203" s="16"/>
      <c r="F203" s="16"/>
      <c r="G203" s="16"/>
    </row>
    <row r="204" spans="1:7" ht="20.149999999999999" customHeight="1">
      <c r="A204" s="13"/>
      <c r="B204" s="14"/>
      <c r="C204" s="16"/>
      <c r="D204" s="16"/>
      <c r="E204" s="16"/>
      <c r="F204" s="16"/>
      <c r="G204" s="16"/>
    </row>
    <row r="205" spans="1:7" ht="20.149999999999999" customHeight="1">
      <c r="A205" s="13"/>
      <c r="B205" s="14"/>
      <c r="C205" s="16"/>
      <c r="D205" s="16"/>
      <c r="E205" s="16"/>
      <c r="F205" s="16"/>
      <c r="G205" s="16"/>
    </row>
    <row r="206" spans="1:7" ht="20.149999999999999" customHeight="1">
      <c r="A206" s="13"/>
      <c r="B206" s="14"/>
      <c r="C206" s="16"/>
      <c r="D206" s="16"/>
      <c r="E206" s="16"/>
      <c r="F206" s="16"/>
      <c r="G206" s="16"/>
    </row>
    <row r="207" spans="1:7" ht="20.149999999999999" customHeight="1">
      <c r="A207" s="13"/>
      <c r="B207" s="14"/>
      <c r="C207" s="16"/>
      <c r="D207" s="16"/>
      <c r="E207" s="16"/>
      <c r="F207" s="16"/>
      <c r="G207" s="16"/>
    </row>
    <row r="208" spans="1:7" ht="20.149999999999999" customHeight="1">
      <c r="A208" s="13"/>
      <c r="B208" s="14"/>
      <c r="C208" s="16"/>
      <c r="D208" s="16"/>
      <c r="E208" s="16"/>
      <c r="F208" s="16"/>
      <c r="G208" s="16"/>
    </row>
    <row r="209" spans="1:7" ht="20.149999999999999" customHeight="1">
      <c r="A209" s="13"/>
      <c r="B209" s="14"/>
      <c r="C209" s="16"/>
      <c r="D209" s="16"/>
      <c r="E209" s="16"/>
      <c r="F209" s="16"/>
      <c r="G209" s="16"/>
    </row>
    <row r="210" spans="1:7" ht="20.149999999999999" customHeight="1">
      <c r="A210" s="13"/>
      <c r="B210" s="14"/>
      <c r="C210" s="16"/>
      <c r="D210" s="16"/>
      <c r="E210" s="16"/>
      <c r="F210" s="16"/>
      <c r="G210" s="16"/>
    </row>
    <row r="211" spans="1:7" ht="20.149999999999999" customHeight="1">
      <c r="A211" s="13"/>
      <c r="B211" s="14"/>
      <c r="C211" s="16"/>
      <c r="D211" s="16"/>
      <c r="E211" s="16"/>
      <c r="F211" s="16"/>
      <c r="G211" s="16"/>
    </row>
    <row r="212" spans="1:7" ht="20.149999999999999" customHeight="1">
      <c r="A212" s="13"/>
      <c r="B212" s="14"/>
      <c r="C212" s="16"/>
      <c r="D212" s="16"/>
      <c r="E212" s="16"/>
      <c r="F212" s="16"/>
      <c r="G212" s="16"/>
    </row>
    <row r="213" spans="1:7" ht="20.149999999999999" customHeight="1">
      <c r="A213" s="13"/>
      <c r="B213" s="14"/>
      <c r="C213" s="16"/>
      <c r="D213" s="16"/>
      <c r="E213" s="16"/>
      <c r="F213" s="16"/>
      <c r="G213" s="16"/>
    </row>
    <row r="214" spans="1:7" ht="20.149999999999999" customHeight="1">
      <c r="A214" s="13"/>
      <c r="B214" s="14"/>
      <c r="C214" s="16"/>
      <c r="D214" s="16"/>
      <c r="E214" s="16"/>
      <c r="F214" s="16"/>
      <c r="G214" s="16"/>
    </row>
    <row r="215" spans="1:7" ht="20.149999999999999" customHeight="1">
      <c r="A215" s="13"/>
      <c r="B215" s="14"/>
      <c r="C215" s="16"/>
      <c r="D215" s="16"/>
      <c r="E215" s="16"/>
      <c r="F215" s="16"/>
      <c r="G215" s="16"/>
    </row>
    <row r="216" spans="1:7" ht="20.149999999999999" customHeight="1">
      <c r="A216" s="13"/>
      <c r="B216" s="14"/>
      <c r="C216" s="16"/>
      <c r="D216" s="16"/>
      <c r="E216" s="16"/>
      <c r="F216" s="16"/>
      <c r="G216" s="16"/>
    </row>
    <row r="217" spans="1:7" ht="20.149999999999999" customHeight="1">
      <c r="A217" s="13"/>
      <c r="B217" s="14"/>
      <c r="C217" s="16"/>
      <c r="D217" s="16"/>
      <c r="E217" s="16"/>
      <c r="F217" s="16"/>
      <c r="G217" s="16"/>
    </row>
    <row r="218" spans="1:7" ht="20.149999999999999" customHeight="1">
      <c r="A218" s="13"/>
      <c r="B218" s="14"/>
      <c r="C218" s="16"/>
      <c r="D218" s="16"/>
      <c r="E218" s="16"/>
      <c r="F218" s="16"/>
      <c r="G218" s="16"/>
    </row>
    <row r="219" spans="1:7" ht="20.149999999999999" customHeight="1">
      <c r="A219" s="13"/>
      <c r="B219" s="14"/>
      <c r="C219" s="16"/>
      <c r="D219" s="16"/>
      <c r="E219" s="16"/>
      <c r="F219" s="16"/>
      <c r="G219" s="16"/>
    </row>
    <row r="220" spans="1:7" ht="20.149999999999999" customHeight="1">
      <c r="A220" s="13"/>
      <c r="B220" s="14"/>
      <c r="C220" s="16"/>
      <c r="D220" s="16"/>
      <c r="E220" s="16"/>
      <c r="F220" s="16"/>
      <c r="G220" s="16"/>
    </row>
    <row r="221" spans="1:7" ht="20.149999999999999" customHeight="1">
      <c r="A221" s="13"/>
      <c r="B221" s="14"/>
      <c r="C221" s="16"/>
      <c r="D221" s="16"/>
      <c r="E221" s="16"/>
      <c r="F221" s="16"/>
      <c r="G221" s="16"/>
    </row>
    <row r="222" spans="1:7" ht="20.149999999999999" customHeight="1">
      <c r="A222" s="13"/>
      <c r="B222" s="14"/>
      <c r="C222" s="16"/>
      <c r="D222" s="16"/>
      <c r="E222" s="16"/>
      <c r="F222" s="16"/>
      <c r="G222" s="16"/>
    </row>
    <row r="223" spans="1:7" ht="20.149999999999999" customHeight="1">
      <c r="A223" s="13"/>
      <c r="B223" s="14"/>
      <c r="C223" s="16"/>
      <c r="D223" s="16"/>
      <c r="E223" s="16"/>
      <c r="F223" s="16"/>
      <c r="G223" s="16"/>
    </row>
    <row r="224" spans="1:7" ht="20.149999999999999" customHeight="1">
      <c r="A224" s="13"/>
      <c r="B224" s="14"/>
      <c r="C224" s="16"/>
      <c r="D224" s="16"/>
      <c r="E224" s="16"/>
      <c r="F224" s="16"/>
      <c r="G224" s="16"/>
    </row>
    <row r="225" spans="1:7" ht="20.149999999999999" customHeight="1">
      <c r="A225" s="13"/>
      <c r="B225" s="14"/>
      <c r="C225" s="16"/>
      <c r="D225" s="16"/>
      <c r="E225" s="16"/>
      <c r="F225" s="16"/>
      <c r="G225" s="16"/>
    </row>
    <row r="226" spans="1:7" ht="20.149999999999999" customHeight="1">
      <c r="A226" s="13"/>
      <c r="B226" s="14"/>
      <c r="C226" s="16"/>
      <c r="D226" s="16"/>
      <c r="E226" s="16"/>
      <c r="F226" s="16"/>
      <c r="G226" s="16"/>
    </row>
    <row r="227" spans="1:7" ht="20.149999999999999" customHeight="1">
      <c r="A227" s="13"/>
      <c r="B227" s="14"/>
      <c r="C227" s="16"/>
      <c r="D227" s="16"/>
      <c r="E227" s="16"/>
      <c r="F227" s="16"/>
      <c r="G227" s="16"/>
    </row>
    <row r="228" spans="1:7" ht="20.149999999999999" customHeight="1">
      <c r="A228" s="13"/>
      <c r="B228" s="14"/>
      <c r="C228" s="16"/>
      <c r="D228" s="16"/>
      <c r="E228" s="16"/>
      <c r="F228" s="16"/>
      <c r="G228" s="16"/>
    </row>
    <row r="229" spans="1:7" ht="20.149999999999999" customHeight="1">
      <c r="A229" s="13"/>
      <c r="B229" s="14"/>
      <c r="C229" s="16"/>
      <c r="D229" s="16"/>
      <c r="E229" s="16"/>
      <c r="F229" s="16"/>
      <c r="G229" s="16"/>
    </row>
    <row r="230" spans="1:7" ht="20.149999999999999" customHeight="1">
      <c r="A230" s="13"/>
      <c r="B230" s="14"/>
      <c r="C230" s="16"/>
      <c r="D230" s="16"/>
      <c r="E230" s="16"/>
      <c r="F230" s="16"/>
      <c r="G230" s="16"/>
    </row>
    <row r="231" spans="1:7" ht="20.149999999999999" customHeight="1">
      <c r="A231" s="13"/>
      <c r="B231" s="14"/>
      <c r="C231" s="16"/>
      <c r="D231" s="16"/>
      <c r="E231" s="16"/>
      <c r="F231" s="16"/>
      <c r="G231" s="16"/>
    </row>
    <row r="232" spans="1:7" ht="20.149999999999999" customHeight="1">
      <c r="A232" s="13"/>
      <c r="B232" s="14"/>
      <c r="C232" s="16"/>
      <c r="D232" s="16"/>
      <c r="E232" s="16"/>
      <c r="F232" s="16"/>
      <c r="G232" s="16"/>
    </row>
    <row r="233" spans="1:7" ht="20.149999999999999" customHeight="1">
      <c r="A233" s="13"/>
      <c r="B233" s="14"/>
      <c r="C233" s="16"/>
      <c r="D233" s="16"/>
      <c r="E233" s="16"/>
      <c r="F233" s="16"/>
      <c r="G233" s="16"/>
    </row>
    <row r="234" spans="1:7" ht="20.149999999999999" customHeight="1">
      <c r="A234" s="13"/>
      <c r="B234" s="14"/>
      <c r="C234" s="16"/>
      <c r="D234" s="16"/>
      <c r="E234" s="16"/>
      <c r="F234" s="16"/>
      <c r="G234" s="16"/>
    </row>
    <row r="235" spans="1:7" ht="20.149999999999999" customHeight="1">
      <c r="A235" s="13"/>
      <c r="B235" s="14"/>
      <c r="C235" s="16"/>
      <c r="D235" s="16"/>
      <c r="E235" s="16"/>
      <c r="F235" s="16"/>
      <c r="G235" s="16"/>
    </row>
    <row r="236" spans="1:7" ht="20.149999999999999" customHeight="1">
      <c r="A236" s="13"/>
      <c r="B236" s="14"/>
      <c r="C236" s="16"/>
      <c r="D236" s="16"/>
      <c r="E236" s="16"/>
      <c r="F236" s="16"/>
      <c r="G236" s="16"/>
    </row>
    <row r="237" spans="1:7" ht="20.149999999999999" customHeight="1">
      <c r="A237" s="13"/>
      <c r="B237" s="14"/>
      <c r="C237" s="16"/>
      <c r="D237" s="16"/>
      <c r="E237" s="16"/>
      <c r="F237" s="16"/>
      <c r="G237" s="16"/>
    </row>
    <row r="238" spans="1:7" ht="20.149999999999999" customHeight="1">
      <c r="A238" s="13"/>
      <c r="B238" s="14"/>
      <c r="C238" s="16"/>
      <c r="D238" s="16"/>
      <c r="E238" s="16"/>
      <c r="F238" s="16"/>
      <c r="G238" s="16"/>
    </row>
    <row r="239" spans="1:7" ht="20.149999999999999" customHeight="1">
      <c r="A239" s="13"/>
      <c r="B239" s="14"/>
      <c r="C239" s="16"/>
      <c r="D239" s="16"/>
      <c r="E239" s="16"/>
      <c r="F239" s="16"/>
      <c r="G239" s="16"/>
    </row>
    <row r="240" spans="1:7" ht="20.149999999999999" customHeight="1">
      <c r="A240" s="13"/>
      <c r="B240" s="14"/>
      <c r="C240" s="16"/>
      <c r="D240" s="16"/>
      <c r="E240" s="16"/>
      <c r="F240" s="16"/>
      <c r="G240" s="16"/>
    </row>
    <row r="241" spans="1:7" ht="20.149999999999999" customHeight="1">
      <c r="A241" s="13"/>
      <c r="B241" s="14"/>
      <c r="C241" s="16"/>
      <c r="D241" s="16"/>
      <c r="E241" s="16"/>
      <c r="F241" s="16"/>
      <c r="G241" s="16"/>
    </row>
    <row r="242" spans="1:7" ht="20.149999999999999" customHeight="1">
      <c r="A242" s="13"/>
      <c r="B242" s="14"/>
      <c r="C242" s="16"/>
      <c r="D242" s="16"/>
      <c r="E242" s="16"/>
      <c r="F242" s="16"/>
      <c r="G242" s="16"/>
    </row>
    <row r="243" spans="1:7" ht="20.149999999999999" customHeight="1">
      <c r="A243" s="13"/>
      <c r="B243" s="14"/>
      <c r="C243" s="16"/>
      <c r="D243" s="16"/>
      <c r="E243" s="16"/>
      <c r="F243" s="16"/>
      <c r="G243" s="16"/>
    </row>
    <row r="244" spans="1:7" ht="20.149999999999999" customHeight="1">
      <c r="A244" s="13"/>
      <c r="B244" s="14"/>
      <c r="C244" s="16"/>
      <c r="D244" s="16"/>
      <c r="E244" s="16"/>
      <c r="F244" s="16"/>
      <c r="G244" s="16"/>
    </row>
    <row r="245" spans="1:7" ht="20.149999999999999" customHeight="1">
      <c r="A245" s="13"/>
      <c r="B245" s="14"/>
      <c r="C245" s="16"/>
      <c r="D245" s="16"/>
      <c r="E245" s="16"/>
      <c r="F245" s="16"/>
      <c r="G245" s="16"/>
    </row>
    <row r="246" spans="1:7" ht="20.149999999999999" customHeight="1">
      <c r="A246" s="13"/>
      <c r="B246" s="14"/>
      <c r="C246" s="16"/>
      <c r="D246" s="16"/>
      <c r="E246" s="16"/>
      <c r="F246" s="16"/>
      <c r="G246" s="16"/>
    </row>
    <row r="247" spans="1:7" ht="20.149999999999999" customHeight="1">
      <c r="A247" s="13"/>
      <c r="B247" s="14"/>
      <c r="C247" s="16"/>
      <c r="D247" s="16"/>
      <c r="E247" s="16"/>
      <c r="F247" s="16"/>
      <c r="G247" s="16"/>
    </row>
    <row r="248" spans="1:7" ht="20.149999999999999" customHeight="1">
      <c r="A248" s="13"/>
      <c r="B248" s="14"/>
      <c r="C248" s="16"/>
      <c r="D248" s="16"/>
      <c r="E248" s="16"/>
      <c r="F248" s="16"/>
      <c r="G248" s="16"/>
    </row>
    <row r="249" spans="1:7" ht="20.149999999999999" customHeight="1">
      <c r="A249" s="13"/>
      <c r="B249" s="14"/>
      <c r="C249" s="16"/>
      <c r="D249" s="16"/>
      <c r="E249" s="16"/>
      <c r="F249" s="16"/>
      <c r="G249" s="16"/>
    </row>
    <row r="250" spans="1:7" ht="20.149999999999999" customHeight="1">
      <c r="A250" s="13"/>
      <c r="B250" s="14"/>
      <c r="C250" s="16"/>
      <c r="D250" s="16"/>
      <c r="E250" s="16"/>
      <c r="F250" s="16"/>
      <c r="G250" s="16"/>
    </row>
    <row r="251" spans="1:7" ht="20.149999999999999" customHeight="1">
      <c r="A251" s="13"/>
      <c r="B251" s="14"/>
      <c r="C251" s="16"/>
      <c r="D251" s="16"/>
      <c r="E251" s="16"/>
      <c r="F251" s="16"/>
      <c r="G251" s="16"/>
    </row>
    <row r="252" spans="1:7" ht="20.149999999999999" customHeight="1">
      <c r="A252" s="13"/>
      <c r="B252" s="14"/>
      <c r="C252" s="16"/>
      <c r="D252" s="16"/>
      <c r="E252" s="16"/>
      <c r="F252" s="16"/>
      <c r="G252" s="16"/>
    </row>
    <row r="253" spans="1:7" ht="20.149999999999999" customHeight="1">
      <c r="A253" s="13"/>
      <c r="B253" s="14"/>
      <c r="C253" s="16"/>
      <c r="D253" s="16"/>
      <c r="E253" s="16"/>
      <c r="F253" s="16"/>
      <c r="G253" s="16"/>
    </row>
    <row r="254" spans="1:7" ht="20.149999999999999" customHeight="1">
      <c r="A254" s="13"/>
      <c r="B254" s="14"/>
      <c r="C254" s="16"/>
      <c r="D254" s="16"/>
      <c r="E254" s="16"/>
      <c r="F254" s="16"/>
      <c r="G254" s="16"/>
    </row>
    <row r="255" spans="1:7" ht="20.149999999999999" customHeight="1">
      <c r="A255" s="13"/>
      <c r="B255" s="14"/>
      <c r="C255" s="16"/>
      <c r="D255" s="16"/>
      <c r="E255" s="16"/>
      <c r="F255" s="16"/>
      <c r="G255" s="16"/>
    </row>
    <row r="256" spans="1:7" ht="20.149999999999999" customHeight="1">
      <c r="A256" s="13"/>
      <c r="B256" s="14"/>
      <c r="C256" s="16"/>
      <c r="D256" s="16"/>
      <c r="E256" s="16"/>
      <c r="F256" s="16"/>
      <c r="G256" s="16"/>
    </row>
    <row r="257" spans="1:7" ht="20.149999999999999" customHeight="1">
      <c r="A257" s="13"/>
      <c r="B257" s="14"/>
      <c r="C257" s="16"/>
      <c r="D257" s="16"/>
      <c r="E257" s="16"/>
      <c r="F257" s="16"/>
      <c r="G257" s="16"/>
    </row>
    <row r="258" spans="1:7" ht="20.149999999999999" customHeight="1">
      <c r="A258" s="13"/>
      <c r="B258" s="14"/>
      <c r="C258" s="16"/>
      <c r="D258" s="16"/>
      <c r="E258" s="16"/>
      <c r="F258" s="16"/>
      <c r="G258" s="16"/>
    </row>
    <row r="259" spans="1:7" ht="20.149999999999999" customHeight="1">
      <c r="A259" s="13"/>
      <c r="B259" s="14"/>
      <c r="C259" s="16"/>
      <c r="D259" s="16"/>
      <c r="E259" s="16"/>
      <c r="F259" s="16"/>
      <c r="G259" s="16"/>
    </row>
    <row r="260" spans="1:7" ht="20.149999999999999" customHeight="1">
      <c r="A260" s="13"/>
      <c r="B260" s="14"/>
      <c r="C260" s="16"/>
      <c r="D260" s="16"/>
      <c r="E260" s="16"/>
      <c r="F260" s="16"/>
      <c r="G260" s="16"/>
    </row>
    <row r="261" spans="1:7" ht="20.149999999999999" customHeight="1">
      <c r="A261" s="13"/>
      <c r="B261" s="14"/>
      <c r="C261" s="16"/>
      <c r="D261" s="16"/>
      <c r="E261" s="16"/>
      <c r="F261" s="16"/>
      <c r="G261" s="16"/>
    </row>
    <row r="262" spans="1:7" ht="20.149999999999999" customHeight="1">
      <c r="A262" s="13"/>
      <c r="B262" s="14"/>
      <c r="C262" s="16"/>
      <c r="D262" s="16"/>
      <c r="E262" s="16"/>
      <c r="F262" s="16"/>
      <c r="G262" s="16"/>
    </row>
    <row r="263" spans="1:7" ht="20.149999999999999" customHeight="1">
      <c r="A263" s="13"/>
      <c r="B263" s="14"/>
      <c r="C263" s="16"/>
      <c r="D263" s="16"/>
      <c r="E263" s="16"/>
      <c r="F263" s="16"/>
      <c r="G263" s="16"/>
    </row>
  </sheetData>
  <mergeCells count="1">
    <mergeCell ref="A1:G1"/>
  </mergeCells>
  <pageMargins left="0.5" right="0.5" top="0.75" bottom="0.75" header="0.27777800000000002" footer="0.27777800000000002"/>
  <pageSetup scale="72"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sheetPr>
    <pageSetUpPr fitToPage="1"/>
  </sheetPr>
  <dimension ref="A1:G33"/>
  <sheetViews>
    <sheetView showGridLines="0" workbookViewId="0">
      <pane xSplit="1" ySplit="2" topLeftCell="B30" activePane="bottomRight" state="frozen"/>
      <selection pane="topRight"/>
      <selection pane="bottomLeft"/>
      <selection pane="bottomRight" activeCell="E28" sqref="E28"/>
    </sheetView>
  </sheetViews>
  <sheetFormatPr defaultColWidth="16.26953125" defaultRowHeight="19.899999999999999" customHeight="1"/>
  <cols>
    <col min="1" max="5" width="16.26953125" style="20" customWidth="1"/>
    <col min="6" max="6" width="22.26953125" style="20" customWidth="1"/>
    <col min="7" max="8" width="16.26953125" style="20" customWidth="1"/>
    <col min="9" max="16384" width="16.26953125" style="20"/>
  </cols>
  <sheetData>
    <row r="1" spans="1:7" ht="27.75" customHeight="1">
      <c r="A1" s="48" t="s">
        <v>16</v>
      </c>
      <c r="B1" s="48"/>
      <c r="C1" s="48"/>
      <c r="D1" s="48"/>
      <c r="E1" s="48"/>
      <c r="F1" s="48"/>
      <c r="G1" s="48"/>
    </row>
    <row r="2" spans="1:7" ht="20.65" customHeight="1">
      <c r="A2" s="21"/>
      <c r="B2" s="7" t="s">
        <v>18</v>
      </c>
      <c r="C2" s="7" t="s">
        <v>19</v>
      </c>
      <c r="D2" s="7" t="s">
        <v>18</v>
      </c>
      <c r="E2" s="7" t="s">
        <v>20</v>
      </c>
      <c r="F2" s="21"/>
      <c r="G2" s="21"/>
    </row>
    <row r="3" spans="1:7" ht="20.65" customHeight="1">
      <c r="A3" s="22"/>
      <c r="B3" s="23">
        <v>46225.28125</v>
      </c>
      <c r="C3" s="24">
        <v>0.72</v>
      </c>
      <c r="D3" s="25">
        <v>46225.28125</v>
      </c>
      <c r="E3" s="26">
        <v>0.4</v>
      </c>
      <c r="F3" s="30">
        <f>0.69-E3</f>
        <v>0.28999999999999992</v>
      </c>
      <c r="G3" s="30"/>
    </row>
    <row r="4" spans="1:7" ht="20.5" customHeight="1">
      <c r="A4" s="27"/>
      <c r="B4" s="28">
        <v>46225.302083333336</v>
      </c>
      <c r="C4" s="29">
        <v>0.59</v>
      </c>
      <c r="D4" s="16"/>
      <c r="E4" s="30">
        <v>0.19</v>
      </c>
      <c r="F4" s="30">
        <f>0.69-E4</f>
        <v>0.49999999999999994</v>
      </c>
      <c r="G4" s="30">
        <f>(F3+F4)/4-'Riemann Sum - Midpoint Riemann '!I4</f>
        <v>0.17249999999999996</v>
      </c>
    </row>
    <row r="5" spans="1:7" ht="20.5" customHeight="1">
      <c r="A5" s="27"/>
      <c r="B5" s="28">
        <v>46225.322916666664</v>
      </c>
      <c r="C5" s="29">
        <v>0.47</v>
      </c>
      <c r="D5" s="16"/>
      <c r="E5" s="30">
        <v>0.68</v>
      </c>
      <c r="F5" s="30">
        <f>1.3-E5</f>
        <v>0.62</v>
      </c>
      <c r="G5" s="30">
        <f>(F4+F5)/4-'Riemann Sum - Midpoint Riemann '!I5</f>
        <v>0.19999999999999998</v>
      </c>
    </row>
    <row r="6" spans="1:7" ht="20.5" customHeight="1">
      <c r="A6" s="13"/>
      <c r="B6" s="28">
        <v>46225.34375</v>
      </c>
      <c r="C6" s="15">
        <v>0.35</v>
      </c>
      <c r="D6" s="16"/>
      <c r="E6" s="30">
        <v>0.57999999999999996</v>
      </c>
      <c r="F6" s="30">
        <f>1.3-E6</f>
        <v>0.72000000000000008</v>
      </c>
      <c r="G6" s="30">
        <f>(F5+F6)/4-'Riemann Sum - Midpoint Riemann '!I6</f>
        <v>0.19500000000000003</v>
      </c>
    </row>
    <row r="7" spans="1:7" ht="20.5" customHeight="1">
      <c r="A7" s="13"/>
      <c r="B7" s="28">
        <v>46225.364583333336</v>
      </c>
      <c r="C7" s="15">
        <v>0.24</v>
      </c>
      <c r="D7" s="16"/>
      <c r="E7" s="30">
        <v>0.56000000000000005</v>
      </c>
      <c r="F7" s="30">
        <f t="shared" ref="F7:F24" si="0">1.3-E7</f>
        <v>0.74</v>
      </c>
      <c r="G7" s="30">
        <f>(F6+F7)/4-'Riemann Sum - Midpoint Riemann '!I7</f>
        <v>0.16750000000000001</v>
      </c>
    </row>
    <row r="8" spans="1:7" ht="20.5" customHeight="1">
      <c r="A8" s="27"/>
      <c r="B8" s="28">
        <v>46225.385416666664</v>
      </c>
      <c r="C8" s="29">
        <v>0.12</v>
      </c>
      <c r="D8" s="16"/>
      <c r="E8" s="30">
        <v>0.52</v>
      </c>
      <c r="F8" s="30">
        <f t="shared" si="0"/>
        <v>0.78</v>
      </c>
      <c r="G8" s="30">
        <f>(F7+F8)/4-'Riemann Sum - Midpoint Riemann '!I8</f>
        <v>0.125</v>
      </c>
    </row>
    <row r="9" spans="1:7" ht="20.5" customHeight="1">
      <c r="A9" s="27"/>
      <c r="B9" s="31">
        <v>46225.385416666664</v>
      </c>
      <c r="C9" s="29">
        <v>0.71</v>
      </c>
      <c r="D9" s="16"/>
      <c r="E9" s="30"/>
      <c r="F9" s="30"/>
      <c r="G9" s="30"/>
    </row>
    <row r="10" spans="1:7" ht="20.5" customHeight="1">
      <c r="A10" s="27"/>
      <c r="B10" s="28">
        <v>46225.40625</v>
      </c>
      <c r="C10" s="29">
        <v>0.64</v>
      </c>
      <c r="D10" s="16"/>
      <c r="E10" s="30">
        <v>0.49</v>
      </c>
      <c r="F10" s="30">
        <f t="shared" ref="F10:F12" si="1">1.3-E10</f>
        <v>0.81</v>
      </c>
      <c r="G10" s="30">
        <f>(F8+F10)/4-'Riemann Sum - Midpoint Riemann '!I10</f>
        <v>8.500000000000002E-2</v>
      </c>
    </row>
    <row r="11" spans="1:7" ht="20.5" customHeight="1">
      <c r="A11" s="27"/>
      <c r="B11" s="28">
        <v>46225.427083333336</v>
      </c>
      <c r="C11" s="29">
        <v>0.54</v>
      </c>
      <c r="D11" s="16"/>
      <c r="E11" s="30">
        <v>0.46</v>
      </c>
      <c r="F11" s="30">
        <f t="shared" si="1"/>
        <v>0.84000000000000008</v>
      </c>
      <c r="G11" s="30">
        <f>(F10+F11)/4-'Riemann Sum - Midpoint Riemann '!I11</f>
        <v>5.7500000000000051E-2</v>
      </c>
    </row>
    <row r="12" spans="1:7" ht="20.5" customHeight="1">
      <c r="A12" s="27"/>
      <c r="B12" s="28">
        <v>46225.447916666664</v>
      </c>
      <c r="C12" s="29">
        <v>0.47</v>
      </c>
      <c r="D12" s="16"/>
      <c r="E12" s="30">
        <v>0.43</v>
      </c>
      <c r="F12" s="30">
        <f t="shared" si="1"/>
        <v>0.87000000000000011</v>
      </c>
      <c r="G12" s="30">
        <f>(F11+F12)/4-'Riemann Sum - Midpoint Riemann '!I12</f>
        <v>3.0000000000000027E-2</v>
      </c>
    </row>
    <row r="13" spans="1:7" ht="20.5" customHeight="1">
      <c r="A13" s="27"/>
      <c r="B13" s="28">
        <v>46225.46875</v>
      </c>
      <c r="C13" s="29">
        <v>0.4</v>
      </c>
      <c r="D13" s="16"/>
      <c r="E13" s="30">
        <v>0.42</v>
      </c>
      <c r="F13" s="30">
        <f t="shared" si="0"/>
        <v>0.88000000000000012</v>
      </c>
      <c r="G13" s="30">
        <f>(F12+F13)/4-'Riemann Sum - Midpoint Riemann '!I13</f>
        <v>5.00000000000006E-3</v>
      </c>
    </row>
    <row r="14" spans="1:7" ht="20.5" customHeight="1">
      <c r="A14" s="27"/>
      <c r="B14" s="28">
        <v>46225.489583333336</v>
      </c>
      <c r="C14" s="29">
        <v>0.36</v>
      </c>
      <c r="D14" s="16"/>
      <c r="E14" s="30">
        <v>0.4</v>
      </c>
      <c r="F14" s="30">
        <f t="shared" si="0"/>
        <v>0.9</v>
      </c>
      <c r="G14" s="30">
        <f>(F13+F14)/4-'Riemann Sum - Midpoint Riemann '!I14</f>
        <v>-1.4999999999999958E-2</v>
      </c>
    </row>
    <row r="15" spans="1:7" ht="20.5" customHeight="1">
      <c r="A15" s="27"/>
      <c r="B15" s="28">
        <v>46225.510416666664</v>
      </c>
      <c r="C15" s="29">
        <v>0.34</v>
      </c>
      <c r="D15" s="16"/>
      <c r="E15" s="30">
        <v>0.4</v>
      </c>
      <c r="F15" s="30">
        <f t="shared" si="0"/>
        <v>0.9</v>
      </c>
      <c r="G15" s="30">
        <f>(F14+F15)/4-'Riemann Sum - Midpoint Riemann '!I15</f>
        <v>-2.4999999999999967E-2</v>
      </c>
    </row>
    <row r="16" spans="1:7" ht="20.5" customHeight="1">
      <c r="A16" s="27"/>
      <c r="B16" s="28">
        <v>46225.53125</v>
      </c>
      <c r="C16" s="29">
        <v>0.32</v>
      </c>
      <c r="D16" s="16"/>
      <c r="E16" s="30">
        <v>0.39</v>
      </c>
      <c r="F16" s="30">
        <f t="shared" si="0"/>
        <v>0.91</v>
      </c>
      <c r="G16" s="30">
        <f>(F15+F16)/4-'Riemann Sum - Midpoint Riemann '!I16</f>
        <v>-3.2499999999999973E-2</v>
      </c>
    </row>
    <row r="17" spans="1:7" ht="20.5" customHeight="1">
      <c r="A17" s="27"/>
      <c r="B17" s="28">
        <v>46225.552083333336</v>
      </c>
      <c r="C17" s="29">
        <v>0.33</v>
      </c>
      <c r="D17" s="16"/>
      <c r="E17" s="30">
        <v>0.39</v>
      </c>
      <c r="F17" s="30">
        <f t="shared" si="0"/>
        <v>0.91</v>
      </c>
      <c r="G17" s="30">
        <f>(F16+F17)/4-'Riemann Sum - Midpoint Riemann '!I17</f>
        <v>-3.2499999999999973E-2</v>
      </c>
    </row>
    <row r="18" spans="1:7" ht="20.5" customHeight="1">
      <c r="A18" s="27"/>
      <c r="B18" s="28">
        <v>46225.572916666664</v>
      </c>
      <c r="C18" s="29">
        <v>0.34</v>
      </c>
      <c r="D18" s="16"/>
      <c r="E18" s="30">
        <v>0.4</v>
      </c>
      <c r="F18" s="30">
        <f t="shared" si="0"/>
        <v>0.9</v>
      </c>
      <c r="G18" s="30">
        <f>(F17+F18)/4-'Riemann Sum - Midpoint Riemann '!I18</f>
        <v>-2.9999999999999971E-2</v>
      </c>
    </row>
    <row r="19" spans="1:7" ht="20.5" customHeight="1">
      <c r="A19" s="27"/>
      <c r="B19" s="28">
        <v>46225.59375</v>
      </c>
      <c r="C19" s="29">
        <v>0.38</v>
      </c>
      <c r="D19" s="16"/>
      <c r="E19" s="30">
        <v>0.4</v>
      </c>
      <c r="F19" s="30">
        <f t="shared" si="0"/>
        <v>0.9</v>
      </c>
      <c r="G19" s="30">
        <f>(F18+F19)/4-'Riemann Sum - Midpoint Riemann '!I19</f>
        <v>-1.9999999999999962E-2</v>
      </c>
    </row>
    <row r="20" spans="1:7" ht="20.5" customHeight="1">
      <c r="A20" s="27"/>
      <c r="B20" s="28">
        <v>46225.614583333336</v>
      </c>
      <c r="C20" s="29">
        <v>0.42</v>
      </c>
      <c r="D20" s="16"/>
      <c r="E20" s="30">
        <v>0.42</v>
      </c>
      <c r="F20" s="30">
        <f t="shared" si="0"/>
        <v>0.88000000000000012</v>
      </c>
      <c r="G20" s="30">
        <f>(F19+F20)/4-'Riemann Sum - Midpoint Riemann '!I20</f>
        <v>-5.0000000000000044E-3</v>
      </c>
    </row>
    <row r="21" spans="1:7" ht="20.5" customHeight="1">
      <c r="A21" s="27"/>
      <c r="B21" s="28">
        <v>46225.635416666664</v>
      </c>
      <c r="C21" s="29">
        <v>0.47</v>
      </c>
      <c r="D21" s="16"/>
      <c r="E21" s="30">
        <v>0.44</v>
      </c>
      <c r="F21" s="30">
        <f t="shared" si="0"/>
        <v>0.8600000000000001</v>
      </c>
      <c r="G21" s="30">
        <f>(F20+F21)/4-'Riemann Sum - Midpoint Riemann '!I21</f>
        <v>7.5000000000000067E-3</v>
      </c>
    </row>
    <row r="22" spans="1:7" ht="20.5" customHeight="1">
      <c r="A22" s="27"/>
      <c r="B22" s="28">
        <v>46225.65625</v>
      </c>
      <c r="C22" s="29">
        <v>0.55000000000000004</v>
      </c>
      <c r="D22" s="16"/>
      <c r="E22" s="30">
        <v>0.46</v>
      </c>
      <c r="F22" s="30">
        <f t="shared" si="0"/>
        <v>0.84000000000000008</v>
      </c>
      <c r="G22" s="30">
        <f>(F21+F22)/4-'Riemann Sum - Midpoint Riemann '!I22</f>
        <v>3.0000000000000027E-2</v>
      </c>
    </row>
    <row r="23" spans="1:7" ht="20.5" customHeight="1">
      <c r="A23" s="27"/>
      <c r="B23" s="28">
        <v>46225.677083333336</v>
      </c>
      <c r="C23" s="29">
        <v>0.65</v>
      </c>
      <c r="D23" s="16"/>
      <c r="E23" s="30">
        <v>0.48</v>
      </c>
      <c r="F23" s="30">
        <f t="shared" si="0"/>
        <v>0.82000000000000006</v>
      </c>
      <c r="G23" s="30">
        <f>(F22+F23)/4-'Riemann Sum - Midpoint Riemann '!I23</f>
        <v>6.5000000000000058E-2</v>
      </c>
    </row>
    <row r="24" spans="1:7" ht="20.5" customHeight="1">
      <c r="A24" s="27"/>
      <c r="B24" s="28">
        <v>46225.697916666664</v>
      </c>
      <c r="C24" s="29">
        <v>0.75</v>
      </c>
      <c r="D24" s="16"/>
      <c r="E24" s="30">
        <v>0.52</v>
      </c>
      <c r="F24" s="30">
        <f t="shared" si="0"/>
        <v>0.78</v>
      </c>
      <c r="G24" s="30">
        <f>(F23+F24)/4-'Riemann Sum - Midpoint Riemann '!I24</f>
        <v>9.9999999999999978E-2</v>
      </c>
    </row>
    <row r="25" spans="1:7" ht="20.5" customHeight="1">
      <c r="A25" s="27"/>
      <c r="B25" s="28">
        <v>46225.697916666664</v>
      </c>
      <c r="C25" s="29">
        <v>0.1</v>
      </c>
      <c r="D25" s="16"/>
      <c r="E25" s="30"/>
      <c r="F25" s="30"/>
      <c r="G25" s="30"/>
    </row>
    <row r="26" spans="1:7" ht="20.5" customHeight="1">
      <c r="A26" s="27"/>
      <c r="B26" s="28">
        <v>46225.71875</v>
      </c>
      <c r="C26" s="29">
        <v>0.2</v>
      </c>
      <c r="D26" s="16"/>
      <c r="E26" s="30">
        <v>0.56000000000000005</v>
      </c>
      <c r="F26" s="30">
        <f t="shared" ref="F26:F27" si="2">1.3-E26</f>
        <v>0.74</v>
      </c>
      <c r="G26" s="30">
        <f>(F24+F26)/4-'Riemann Sum - Midpoint Riemann '!I26</f>
        <v>0.11000000000000004</v>
      </c>
    </row>
    <row r="27" spans="1:7" ht="20.5" customHeight="1">
      <c r="A27" s="27"/>
      <c r="B27" s="28">
        <v>46225.739583333336</v>
      </c>
      <c r="C27" s="29">
        <v>0.32</v>
      </c>
      <c r="D27" s="16"/>
      <c r="E27" s="30">
        <v>0.55000000000000004</v>
      </c>
      <c r="F27" s="30">
        <f t="shared" si="2"/>
        <v>0.75</v>
      </c>
      <c r="G27" s="30">
        <f>(F26+F27)/4-'Riemann Sum - Midpoint Riemann '!I27</f>
        <v>0.15750000000000003</v>
      </c>
    </row>
    <row r="28" spans="1:7" ht="20.5" customHeight="1">
      <c r="A28" s="27"/>
      <c r="B28" s="28">
        <v>46225.760416666664</v>
      </c>
      <c r="C28" s="29">
        <v>0.45</v>
      </c>
      <c r="D28" s="16"/>
      <c r="E28" s="30">
        <v>0.03</v>
      </c>
      <c r="F28" s="30">
        <f>0.69-E28</f>
        <v>0.65999999999999992</v>
      </c>
      <c r="G28" s="30">
        <f>(F27+F28)/4-'Riemann Sum - Midpoint Riemann '!I28</f>
        <v>0.2</v>
      </c>
    </row>
    <row r="29" spans="1:7" ht="20.5" customHeight="1">
      <c r="A29" s="32" t="s">
        <v>21</v>
      </c>
      <c r="B29" s="28">
        <v>0.78125</v>
      </c>
      <c r="C29" s="29">
        <v>4.9024999999999999</v>
      </c>
      <c r="D29" s="30"/>
      <c r="E29" s="30"/>
      <c r="F29" s="30"/>
      <c r="G29" s="30"/>
    </row>
    <row r="30" spans="1:7" ht="20.5" customHeight="1">
      <c r="A30" s="32" t="s">
        <v>22</v>
      </c>
      <c r="B30" s="28">
        <v>0.80208333333333337</v>
      </c>
      <c r="C30" s="29">
        <v>0.69</v>
      </c>
      <c r="D30" s="30"/>
      <c r="E30" s="30"/>
      <c r="F30" s="30"/>
      <c r="G30" s="30"/>
    </row>
    <row r="31" spans="1:7" ht="20.5" customHeight="1">
      <c r="A31" s="34" t="s">
        <v>23</v>
      </c>
      <c r="B31" s="14"/>
      <c r="C31" s="15">
        <v>1.3</v>
      </c>
      <c r="D31" s="30"/>
      <c r="E31" s="30"/>
      <c r="F31" s="30"/>
      <c r="G31" s="30">
        <f>SUM(G4:G30)</f>
        <v>1.5475000000000005</v>
      </c>
    </row>
    <row r="32" spans="1:7" ht="20.5" customHeight="1">
      <c r="A32" s="32" t="s">
        <v>24</v>
      </c>
      <c r="B32" s="33"/>
      <c r="C32" s="29" cm="1">
        <f t="array" ref="C32">AVERAGE(C3:C28)</f>
        <v>0.43192307692307697</v>
      </c>
      <c r="D32" s="30"/>
      <c r="E32" s="30"/>
      <c r="F32" s="30"/>
      <c r="G32" s="30">
        <f>G31+0.65*12/9</f>
        <v>2.4141666666666675</v>
      </c>
    </row>
    <row r="33" spans="7:7" ht="19.899999999999999" customHeight="1">
      <c r="G33" s="20">
        <f>G32/'Riemann Sum - Midpoint Riemann '!I31</f>
        <v>0.31702779601663394</v>
      </c>
    </row>
  </sheetData>
  <mergeCells count="1">
    <mergeCell ref="A1:G1"/>
  </mergeCells>
  <pageMargins left="1" right="1" top="1" bottom="1" header="0.25" footer="0.25"/>
  <pageSetup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sheetPr>
    <pageSetUpPr fitToPage="1"/>
  </sheetPr>
  <dimension ref="A1:I34"/>
  <sheetViews>
    <sheetView showGridLines="0" workbookViewId="0">
      <pane xSplit="1" ySplit="2" topLeftCell="B3" activePane="bottomRight" state="frozen"/>
      <selection pane="topRight"/>
      <selection pane="bottomLeft"/>
      <selection pane="bottomRight" activeCell="H9" sqref="H9"/>
    </sheetView>
  </sheetViews>
  <sheetFormatPr defaultColWidth="16.26953125" defaultRowHeight="19.899999999999999" customHeight="1"/>
  <cols>
    <col min="1" max="10" width="16.26953125" style="35" customWidth="1"/>
    <col min="11" max="16384" width="16.26953125" style="35"/>
  </cols>
  <sheetData>
    <row r="1" spans="1:9" ht="27.75" customHeight="1">
      <c r="A1" s="48" t="s">
        <v>26</v>
      </c>
      <c r="B1" s="48"/>
      <c r="C1" s="48"/>
      <c r="D1" s="48"/>
      <c r="E1" s="48"/>
      <c r="F1" s="48"/>
      <c r="G1" s="48"/>
      <c r="H1" s="48"/>
      <c r="I1" s="48"/>
    </row>
    <row r="2" spans="1:9" ht="20.25" customHeight="1">
      <c r="A2" s="7" t="s">
        <v>18</v>
      </c>
      <c r="B2" s="8" t="s">
        <v>19</v>
      </c>
      <c r="C2" s="8" t="s">
        <v>28</v>
      </c>
      <c r="D2" s="36"/>
      <c r="E2" s="8" t="s">
        <v>29</v>
      </c>
      <c r="F2" s="8" t="s">
        <v>30</v>
      </c>
      <c r="G2" s="8" t="s">
        <v>31</v>
      </c>
      <c r="H2" s="8" t="s">
        <v>32</v>
      </c>
      <c r="I2" s="8" t="s">
        <v>28</v>
      </c>
    </row>
    <row r="3" spans="1:9" ht="20.65" customHeight="1">
      <c r="A3" s="23">
        <v>46225.28125</v>
      </c>
      <c r="B3" s="37">
        <v>0.72</v>
      </c>
      <c r="C3" s="12"/>
      <c r="D3" s="12"/>
      <c r="E3" s="11">
        <v>0.5</v>
      </c>
      <c r="F3" s="11">
        <v>0.69</v>
      </c>
      <c r="G3" s="11">
        <v>1.3</v>
      </c>
      <c r="H3" s="11">
        <v>0</v>
      </c>
      <c r="I3" s="12"/>
    </row>
    <row r="4" spans="1:9" ht="20.5" customHeight="1">
      <c r="A4" s="28">
        <v>46225.302083333336</v>
      </c>
      <c r="B4" s="38">
        <v>0.59</v>
      </c>
      <c r="C4" s="15" cm="1">
        <f t="array" ref="C4">(B4+B3)/2*$E$3</f>
        <v>0.32750000000000001</v>
      </c>
      <c r="D4" s="16"/>
      <c r="E4" s="16"/>
      <c r="F4" s="16"/>
      <c r="G4" s="16"/>
      <c r="H4" s="15" cm="1">
        <f t="array" ref="H4">-B4+$F$3</f>
        <v>9.9999999999999978E-2</v>
      </c>
      <c r="I4" s="15" cm="1">
        <f t="array" ref="I4">(H4+H3)/2*$E$3</f>
        <v>2.4999999999999994E-2</v>
      </c>
    </row>
    <row r="5" spans="1:9" ht="20.5" customHeight="1">
      <c r="A5" s="28">
        <v>46225.322916666664</v>
      </c>
      <c r="B5" s="38">
        <v>0.47</v>
      </c>
      <c r="C5" s="15" cm="1">
        <f t="array" ref="C5">(B5+B4)/2*$E$3</f>
        <v>0.26500000000000001</v>
      </c>
      <c r="D5" s="16"/>
      <c r="E5" s="16"/>
      <c r="F5" s="16"/>
      <c r="G5" s="16"/>
      <c r="H5" s="15" cm="1">
        <f t="array" ref="H5">-B5+$F$3</f>
        <v>0.21999999999999997</v>
      </c>
      <c r="I5" s="15" cm="1">
        <f t="array" ref="I5">(H5+H4)/2*$E$3</f>
        <v>7.9999999999999988E-2</v>
      </c>
    </row>
    <row r="6" spans="1:9" ht="20.149999999999999" customHeight="1">
      <c r="A6" s="28">
        <v>46225.34375</v>
      </c>
      <c r="B6" s="39">
        <v>0.35</v>
      </c>
      <c r="C6" s="15" cm="1">
        <f t="array" ref="C6">(B6+B5)/2*$E$3</f>
        <v>0.20499999999999999</v>
      </c>
      <c r="D6" s="16"/>
      <c r="E6" s="16"/>
      <c r="F6" s="16"/>
      <c r="G6" s="16"/>
      <c r="H6" s="15" cm="1">
        <f t="array" ref="H6">-B6+$F$3</f>
        <v>0.33999999999999997</v>
      </c>
      <c r="I6" s="15" cm="1">
        <f t="array" ref="I6">(H6+H5)/2*$E$3</f>
        <v>0.13999999999999999</v>
      </c>
    </row>
    <row r="7" spans="1:9" ht="20.149999999999999" customHeight="1">
      <c r="A7" s="28">
        <v>46225.364583333336</v>
      </c>
      <c r="B7" s="39">
        <v>0.24</v>
      </c>
      <c r="C7" s="15" cm="1">
        <f t="array" ref="C7">(B7+B6)/2*$E$3</f>
        <v>0.14749999999999999</v>
      </c>
      <c r="D7" s="16"/>
      <c r="E7" s="16"/>
      <c r="F7" s="16"/>
      <c r="G7" s="16"/>
      <c r="H7" s="15" cm="1">
        <f t="array" ref="H7">-B7+$F$3</f>
        <v>0.44999999999999996</v>
      </c>
      <c r="I7" s="15" cm="1">
        <f t="array" ref="I7">(H7+H6)/2*$E$3</f>
        <v>0.19749999999999998</v>
      </c>
    </row>
    <row r="8" spans="1:9" ht="20.5" customHeight="1">
      <c r="A8" s="28">
        <v>46225.385416666664</v>
      </c>
      <c r="B8" s="38">
        <v>0.12</v>
      </c>
      <c r="C8" s="15" cm="1">
        <f t="array" ref="C8">(B8+B7)/2*$E$3</f>
        <v>0.09</v>
      </c>
      <c r="D8" s="16"/>
      <c r="E8" s="16"/>
      <c r="F8" s="16"/>
      <c r="G8" s="16"/>
      <c r="H8" s="15" cm="1">
        <f t="array" ref="H8">-B8+$F$3</f>
        <v>0.56999999999999995</v>
      </c>
      <c r="I8" s="15" cm="1">
        <f t="array" ref="I8">(H8+H7)/2*$E$3</f>
        <v>0.255</v>
      </c>
    </row>
    <row r="9" spans="1:9" ht="20.5" customHeight="1">
      <c r="A9" s="31">
        <v>46225.385416666664</v>
      </c>
      <c r="B9" s="38">
        <v>0.71</v>
      </c>
      <c r="C9" s="16"/>
      <c r="D9" s="16"/>
      <c r="E9" s="16"/>
      <c r="F9" s="16"/>
      <c r="G9" s="16"/>
      <c r="H9" s="15" cm="1">
        <f t="array" ref="H9">-B9+$G$3</f>
        <v>0.59000000000000008</v>
      </c>
      <c r="I9" s="16"/>
    </row>
    <row r="10" spans="1:9" ht="20.5" customHeight="1">
      <c r="A10" s="28">
        <v>46225.40625</v>
      </c>
      <c r="B10" s="38">
        <v>0.64</v>
      </c>
      <c r="C10" s="15" cm="1">
        <f t="array" ref="C10">(B10+B9)/2*$E$3</f>
        <v>0.33750000000000002</v>
      </c>
      <c r="D10" s="16"/>
      <c r="E10" s="16"/>
      <c r="F10" s="16"/>
      <c r="G10" s="16"/>
      <c r="H10" s="15" cm="1">
        <f t="array" ref="H10">-B10+$G$3</f>
        <v>0.66</v>
      </c>
      <c r="I10" s="15" cm="1">
        <f t="array" ref="I10">(H10+H9)/2*$E$3</f>
        <v>0.3125</v>
      </c>
    </row>
    <row r="11" spans="1:9" ht="20.5" customHeight="1">
      <c r="A11" s="28">
        <v>46225.427083333336</v>
      </c>
      <c r="B11" s="38">
        <v>0.54</v>
      </c>
      <c r="C11" s="15" cm="1">
        <f t="array" ref="C11">(B11+B10)/2*$E$3</f>
        <v>0.29500000000000004</v>
      </c>
      <c r="D11" s="16"/>
      <c r="E11" s="16"/>
      <c r="F11" s="16"/>
      <c r="G11" s="16"/>
      <c r="H11" s="15" cm="1">
        <f t="array" ref="H11">-B11+$G$3</f>
        <v>0.76</v>
      </c>
      <c r="I11" s="15" cm="1">
        <f t="array" ref="I11">(H11+H10)/2*$E$3</f>
        <v>0.35499999999999998</v>
      </c>
    </row>
    <row r="12" spans="1:9" ht="20.5" customHeight="1">
      <c r="A12" s="28">
        <v>46225.447916666664</v>
      </c>
      <c r="B12" s="38">
        <v>0.47</v>
      </c>
      <c r="C12" s="15" cm="1">
        <f t="array" ref="C12">(B12+B11)/2*$E$3</f>
        <v>0.2525</v>
      </c>
      <c r="D12" s="16"/>
      <c r="E12" s="16"/>
      <c r="F12" s="16"/>
      <c r="G12" s="16"/>
      <c r="H12" s="15" cm="1">
        <f t="array" ref="H12">-B12+$G$3</f>
        <v>0.83000000000000007</v>
      </c>
      <c r="I12" s="15" cm="1">
        <f t="array" ref="I12">(H12+H11)/2*$E$3</f>
        <v>0.39750000000000002</v>
      </c>
    </row>
    <row r="13" spans="1:9" ht="20.5" customHeight="1">
      <c r="A13" s="28">
        <v>46225.46875</v>
      </c>
      <c r="B13" s="38">
        <v>0.4</v>
      </c>
      <c r="C13" s="15" cm="1">
        <f t="array" ref="C13">(B13+B12)/2*$E$3</f>
        <v>0.2175</v>
      </c>
      <c r="D13" s="16"/>
      <c r="E13" s="16"/>
      <c r="F13" s="16"/>
      <c r="G13" s="16"/>
      <c r="H13" s="15" cm="1">
        <f t="array" ref="H13">-B13+$G$3</f>
        <v>0.9</v>
      </c>
      <c r="I13" s="15" cm="1">
        <f t="array" ref="I13">(H13+H12)/2*$E$3</f>
        <v>0.4325</v>
      </c>
    </row>
    <row r="14" spans="1:9" ht="20.5" customHeight="1">
      <c r="A14" s="28">
        <v>46225.489583333336</v>
      </c>
      <c r="B14" s="38">
        <v>0.36</v>
      </c>
      <c r="C14" s="15" cm="1">
        <f t="array" ref="C14">(B14+B13)/2*$E$3</f>
        <v>0.19</v>
      </c>
      <c r="D14" s="16"/>
      <c r="E14" s="16"/>
      <c r="F14" s="16"/>
      <c r="G14" s="16"/>
      <c r="H14" s="15" cm="1">
        <f t="array" ref="H14">-B14+$G$3</f>
        <v>0.94000000000000006</v>
      </c>
      <c r="I14" s="15" cm="1">
        <f t="array" ref="I14">(H14+H13)/2*$E$3</f>
        <v>0.46</v>
      </c>
    </row>
    <row r="15" spans="1:9" ht="20.5" customHeight="1">
      <c r="A15" s="28">
        <v>46225.510416666664</v>
      </c>
      <c r="B15" s="38">
        <v>0.34</v>
      </c>
      <c r="C15" s="15" cm="1">
        <f t="array" ref="C15">(B15+B14)/2*$E$3</f>
        <v>0.17499999999999999</v>
      </c>
      <c r="D15" s="16"/>
      <c r="E15" s="16"/>
      <c r="F15" s="16"/>
      <c r="G15" s="16"/>
      <c r="H15" s="15" cm="1">
        <f t="array" ref="H15">-B15+$G$3</f>
        <v>0.96</v>
      </c>
      <c r="I15" s="15" cm="1">
        <f t="array" ref="I15">(H15+H14)/2*$E$3</f>
        <v>0.47499999999999998</v>
      </c>
    </row>
    <row r="16" spans="1:9" ht="20.5" customHeight="1">
      <c r="A16" s="28">
        <v>46225.53125</v>
      </c>
      <c r="B16" s="38">
        <v>0.32</v>
      </c>
      <c r="C16" s="15" cm="1">
        <f t="array" ref="C16">(B16+B15)/2*$E$3</f>
        <v>0.16500000000000001</v>
      </c>
      <c r="D16" s="16"/>
      <c r="E16" s="16"/>
      <c r="F16" s="16"/>
      <c r="G16" s="16"/>
      <c r="H16" s="15" cm="1">
        <f t="array" ref="H16">-B16+$G$3</f>
        <v>0.98</v>
      </c>
      <c r="I16" s="15" cm="1">
        <f t="array" ref="I16">(H16+H15)/2*$E$3</f>
        <v>0.48499999999999999</v>
      </c>
    </row>
    <row r="17" spans="1:9" ht="20.5" customHeight="1">
      <c r="A17" s="28">
        <v>46225.552083333336</v>
      </c>
      <c r="B17" s="38">
        <v>0.33</v>
      </c>
      <c r="C17" s="15" cm="1">
        <f t="array" ref="C17">(B17+B16)/2*$E$3</f>
        <v>0.16250000000000001</v>
      </c>
      <c r="D17" s="16"/>
      <c r="E17" s="16"/>
      <c r="F17" s="16"/>
      <c r="G17" s="16"/>
      <c r="H17" s="15" cm="1">
        <f t="array" ref="H17">-B17+$G$3</f>
        <v>0.97</v>
      </c>
      <c r="I17" s="15" cm="1">
        <f t="array" ref="I17">(H17+H16)/2*$E$3</f>
        <v>0.48749999999999999</v>
      </c>
    </row>
    <row r="18" spans="1:9" ht="20.5" customHeight="1">
      <c r="A18" s="28">
        <v>46225.572916666664</v>
      </c>
      <c r="B18" s="38">
        <v>0.34</v>
      </c>
      <c r="C18" s="15" cm="1">
        <f t="array" ref="C18">(B18+B17)/2*$E$3</f>
        <v>0.16750000000000001</v>
      </c>
      <c r="D18" s="16"/>
      <c r="E18" s="16"/>
      <c r="F18" s="16"/>
      <c r="G18" s="16"/>
      <c r="H18" s="15" cm="1">
        <f t="array" ref="H18">-B18+$G$3</f>
        <v>0.96</v>
      </c>
      <c r="I18" s="15" cm="1">
        <f t="array" ref="I18">(H18+H17)/2*$E$3</f>
        <v>0.48249999999999998</v>
      </c>
    </row>
    <row r="19" spans="1:9" ht="20.5" customHeight="1">
      <c r="A19" s="28">
        <v>46225.59375</v>
      </c>
      <c r="B19" s="38">
        <v>0.38</v>
      </c>
      <c r="C19" s="15" cm="1">
        <f t="array" ref="C19">(B19+B18)/2*$E$3</f>
        <v>0.18</v>
      </c>
      <c r="D19" s="16"/>
      <c r="E19" s="16"/>
      <c r="F19" s="16"/>
      <c r="G19" s="16"/>
      <c r="H19" s="15" cm="1">
        <f t="array" ref="H19">-B19+$G$3</f>
        <v>0.92</v>
      </c>
      <c r="I19" s="15" cm="1">
        <f t="array" ref="I19">(H19+H18)/2*$E$3</f>
        <v>0.47</v>
      </c>
    </row>
    <row r="20" spans="1:9" ht="20.5" customHeight="1">
      <c r="A20" s="28">
        <v>46225.614583333336</v>
      </c>
      <c r="B20" s="38">
        <v>0.42</v>
      </c>
      <c r="C20" s="15" cm="1">
        <f t="array" ref="C20">(B20+B19)/2*$E$3</f>
        <v>0.2</v>
      </c>
      <c r="D20" s="16"/>
      <c r="E20" s="16"/>
      <c r="F20" s="16"/>
      <c r="G20" s="16"/>
      <c r="H20" s="15" cm="1">
        <f t="array" ref="H20">-B20+$G$3</f>
        <v>0.88000000000000012</v>
      </c>
      <c r="I20" s="15" cm="1">
        <f t="array" ref="I20">(H20+H19)/2*$E$3</f>
        <v>0.45000000000000007</v>
      </c>
    </row>
    <row r="21" spans="1:9" ht="20.5" customHeight="1">
      <c r="A21" s="28">
        <v>46225.635416666664</v>
      </c>
      <c r="B21" s="38">
        <v>0.47</v>
      </c>
      <c r="C21" s="15" cm="1">
        <f t="array" ref="C21">(B21+B20)/2*$E$3</f>
        <v>0.22249999999999998</v>
      </c>
      <c r="D21" s="16"/>
      <c r="E21" s="16"/>
      <c r="F21" s="16"/>
      <c r="G21" s="16"/>
      <c r="H21" s="15" cm="1">
        <f t="array" ref="H21">-B21+$G$3</f>
        <v>0.83000000000000007</v>
      </c>
      <c r="I21" s="15" cm="1">
        <f t="array" ref="I21">(H21+H20)/2*$E$3</f>
        <v>0.42750000000000005</v>
      </c>
    </row>
    <row r="22" spans="1:9" ht="20.5" customHeight="1">
      <c r="A22" s="28">
        <v>46225.65625</v>
      </c>
      <c r="B22" s="38">
        <v>0.55000000000000004</v>
      </c>
      <c r="C22" s="15" cm="1">
        <f t="array" ref="C22">(B22+B21)/2*$E$3</f>
        <v>0.255</v>
      </c>
      <c r="D22" s="16"/>
      <c r="E22" s="16"/>
      <c r="F22" s="16"/>
      <c r="G22" s="16"/>
      <c r="H22" s="15" cm="1">
        <f t="array" ref="H22">-B22+$G$3</f>
        <v>0.75</v>
      </c>
      <c r="I22" s="15" cm="1">
        <f t="array" ref="I22">(H22+H21)/2*$E$3</f>
        <v>0.39500000000000002</v>
      </c>
    </row>
    <row r="23" spans="1:9" ht="20.5" customHeight="1">
      <c r="A23" s="28">
        <v>46225.677083333336</v>
      </c>
      <c r="B23" s="38">
        <v>0.65</v>
      </c>
      <c r="C23" s="15" cm="1">
        <f t="array" ref="C23">(B23+B22)/2*$E$3</f>
        <v>0.30000000000000004</v>
      </c>
      <c r="D23" s="16"/>
      <c r="E23" s="16"/>
      <c r="F23" s="16"/>
      <c r="G23" s="16"/>
      <c r="H23" s="15" cm="1">
        <f t="array" ref="H23">-B23+$G$3</f>
        <v>0.65</v>
      </c>
      <c r="I23" s="15" cm="1">
        <f t="array" ref="I23">(H23+H22)/2*$E$3</f>
        <v>0.35</v>
      </c>
    </row>
    <row r="24" spans="1:9" ht="20.5" customHeight="1">
      <c r="A24" s="28">
        <v>46225.697916666664</v>
      </c>
      <c r="B24" s="38">
        <v>0.75</v>
      </c>
      <c r="C24" s="15" cm="1">
        <f t="array" ref="C24">(B24+B23)/2*$E$3</f>
        <v>0.35</v>
      </c>
      <c r="D24" s="16"/>
      <c r="E24" s="16"/>
      <c r="F24" s="16"/>
      <c r="G24" s="16"/>
      <c r="H24" s="15" cm="1">
        <f t="array" ref="H24">-B24+$G$3</f>
        <v>0.55000000000000004</v>
      </c>
      <c r="I24" s="15" cm="1">
        <f t="array" ref="I24">(H24+H23)/2*$E$3</f>
        <v>0.30000000000000004</v>
      </c>
    </row>
    <row r="25" spans="1:9" ht="20.5" customHeight="1">
      <c r="A25" s="28">
        <v>46225.697916666664</v>
      </c>
      <c r="B25" s="38">
        <v>0.1</v>
      </c>
      <c r="C25" s="16"/>
      <c r="D25" s="16"/>
      <c r="E25" s="16"/>
      <c r="F25" s="16"/>
      <c r="G25" s="16"/>
      <c r="H25" s="15" cm="1">
        <f t="array" ref="H25">-B25+$F$3</f>
        <v>0.59</v>
      </c>
      <c r="I25" s="16"/>
    </row>
    <row r="26" spans="1:9" ht="20.5" customHeight="1">
      <c r="A26" s="28">
        <v>46225.71875</v>
      </c>
      <c r="B26" s="38">
        <v>0.2</v>
      </c>
      <c r="C26" s="15" cm="1">
        <f t="array" ref="C26">(B26+B25)/2*$E$3</f>
        <v>7.5000000000000011E-2</v>
      </c>
      <c r="D26" s="16"/>
      <c r="E26" s="16"/>
      <c r="F26" s="16"/>
      <c r="G26" s="16"/>
      <c r="H26" s="15" cm="1">
        <f t="array" ref="H26">-B26+$F$3</f>
        <v>0.48999999999999994</v>
      </c>
      <c r="I26" s="15" cm="1">
        <f t="array" ref="I26">(H26+H25)/2*$E$3</f>
        <v>0.26999999999999996</v>
      </c>
    </row>
    <row r="27" spans="1:9" ht="20.5" customHeight="1">
      <c r="A27" s="28">
        <v>46225.739583333336</v>
      </c>
      <c r="B27" s="38">
        <v>0.32</v>
      </c>
      <c r="C27" s="15" cm="1">
        <f t="array" ref="C27">(B27+B26)/2*$E$3</f>
        <v>0.13</v>
      </c>
      <c r="D27" s="16"/>
      <c r="E27" s="16"/>
      <c r="F27" s="16"/>
      <c r="G27" s="16"/>
      <c r="H27" s="15" cm="1">
        <f t="array" ref="H27">-B27+$F$3</f>
        <v>0.36999999999999994</v>
      </c>
      <c r="I27" s="15" cm="1">
        <f t="array" ref="I27">(H27+H26)/2*$E$3</f>
        <v>0.21499999999999997</v>
      </c>
    </row>
    <row r="28" spans="1:9" ht="20.5" customHeight="1">
      <c r="A28" s="28">
        <v>46225.760416666664</v>
      </c>
      <c r="B28" s="38">
        <v>0.45</v>
      </c>
      <c r="C28" s="15" cm="1">
        <f t="array" ref="C28">(B28+B27)/2*$E$3</f>
        <v>0.1925</v>
      </c>
      <c r="D28" s="16"/>
      <c r="E28" s="16"/>
      <c r="F28" s="16"/>
      <c r="G28" s="16"/>
      <c r="H28" s="15" cm="1">
        <f t="array" ref="H28">-B28+$F$3</f>
        <v>0.23999999999999994</v>
      </c>
      <c r="I28" s="15" cm="1">
        <f t="array" ref="I28">(H28+H27)/2*$E$3</f>
        <v>0.15249999999999997</v>
      </c>
    </row>
    <row r="29" spans="1:9" ht="20.5" customHeight="1">
      <c r="A29" s="28">
        <v>0.78125</v>
      </c>
      <c r="B29" s="38"/>
      <c r="C29" s="15"/>
      <c r="D29" s="16"/>
      <c r="E29" s="16"/>
      <c r="F29" s="16"/>
      <c r="G29" s="16"/>
      <c r="H29" s="15"/>
      <c r="I29" s="15"/>
    </row>
    <row r="30" spans="1:9" ht="20.5" customHeight="1">
      <c r="A30" s="28">
        <v>0.80208333333333337</v>
      </c>
      <c r="B30" s="38"/>
      <c r="C30" s="15"/>
      <c r="D30" s="16"/>
      <c r="E30" s="16"/>
      <c r="F30" s="16"/>
      <c r="G30" s="16"/>
      <c r="H30" s="15"/>
      <c r="I30" s="15"/>
    </row>
    <row r="31" spans="1:9" ht="20.5" customHeight="1">
      <c r="A31" s="33"/>
      <c r="B31" s="33"/>
      <c r="C31" s="15" cm="1">
        <f t="array" ref="C31">SUM(C3:C28)</f>
        <v>4.9024999999999999</v>
      </c>
      <c r="D31" s="16"/>
      <c r="E31" s="16"/>
      <c r="F31" s="16"/>
      <c r="G31" s="16"/>
      <c r="H31" s="16"/>
      <c r="I31" s="15" cm="1">
        <f t="array" ref="I31">SUM(I3:I28)</f>
        <v>7.6149999999999993</v>
      </c>
    </row>
    <row r="32" spans="1:9" ht="19.899999999999999" customHeight="1">
      <c r="A32" s="33"/>
    </row>
    <row r="33" spans="1:1" ht="19.899999999999999" customHeight="1">
      <c r="A33" s="14"/>
    </row>
    <row r="34" spans="1:1" ht="19.899999999999999" customHeight="1">
      <c r="A34" s="33"/>
    </row>
  </sheetData>
  <mergeCells count="1">
    <mergeCell ref="A1:I1"/>
  </mergeCells>
  <pageMargins left="1" right="1" top="1" bottom="1" header="0.25" footer="0.25"/>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dimension ref="A1:E54"/>
  <sheetViews>
    <sheetView tabSelected="1" topLeftCell="C1" workbookViewId="0">
      <selection activeCell="M2" sqref="M2"/>
    </sheetView>
  </sheetViews>
  <sheetFormatPr defaultRowHeight="12.5"/>
  <cols>
    <col min="1" max="1" width="14.7265625" style="42" customWidth="1"/>
    <col min="2" max="2" width="13" style="42" customWidth="1"/>
    <col min="3" max="3" width="11.1796875" style="42" customWidth="1"/>
    <col min="4" max="4" width="9.1796875" style="42"/>
  </cols>
  <sheetData>
    <row r="1" spans="1:5" ht="24">
      <c r="A1" s="44" t="s">
        <v>18</v>
      </c>
      <c r="B1" s="40" t="s">
        <v>37</v>
      </c>
      <c r="C1" s="40" t="s">
        <v>34</v>
      </c>
      <c r="D1" s="40" t="s">
        <v>33</v>
      </c>
    </row>
    <row r="2" spans="1:5">
      <c r="A2" s="41">
        <v>46225.28125</v>
      </c>
      <c r="B2" s="42">
        <v>5.0000000000000001E-3</v>
      </c>
      <c r="C2" s="40">
        <v>0.23</v>
      </c>
      <c r="D2" s="45">
        <v>0.35</v>
      </c>
    </row>
    <row r="3" spans="1:5">
      <c r="A3" s="43">
        <v>46225.302083333336</v>
      </c>
      <c r="B3" s="42">
        <v>0.03</v>
      </c>
      <c r="C3" s="42">
        <v>0.5</v>
      </c>
      <c r="D3" s="45">
        <v>0.55000000000000004</v>
      </c>
    </row>
    <row r="4" spans="1:5">
      <c r="A4" s="43">
        <v>46225.322916666664</v>
      </c>
      <c r="B4" s="42">
        <v>0.13</v>
      </c>
      <c r="C4" s="42">
        <v>0.67</v>
      </c>
      <c r="D4" s="45">
        <v>0.74</v>
      </c>
      <c r="E4">
        <v>0.53</v>
      </c>
    </row>
    <row r="5" spans="1:5">
      <c r="A5" s="43">
        <v>46225.34375</v>
      </c>
      <c r="B5" s="42">
        <v>0.23</v>
      </c>
      <c r="C5" s="42">
        <v>0.77</v>
      </c>
      <c r="D5" s="45">
        <v>0.84</v>
      </c>
      <c r="E5">
        <v>0.65</v>
      </c>
    </row>
    <row r="6" spans="1:5">
      <c r="A6" s="43">
        <v>46225.364583333336</v>
      </c>
      <c r="B6" s="42">
        <v>0.37</v>
      </c>
      <c r="C6" s="42">
        <v>0.85</v>
      </c>
      <c r="D6" s="45">
        <v>0.86</v>
      </c>
      <c r="E6">
        <v>0.75</v>
      </c>
    </row>
    <row r="7" spans="1:5">
      <c r="A7" s="43">
        <v>46225.385416666664</v>
      </c>
      <c r="B7" s="42">
        <v>0.49</v>
      </c>
      <c r="C7" s="42">
        <v>0.89</v>
      </c>
      <c r="D7" s="42">
        <v>0.9</v>
      </c>
      <c r="E7">
        <v>0.85</v>
      </c>
    </row>
    <row r="8" spans="1:5">
      <c r="A8" s="43">
        <v>46225.40625</v>
      </c>
      <c r="B8" s="42">
        <v>0.6</v>
      </c>
      <c r="C8" s="42">
        <v>0.94</v>
      </c>
      <c r="D8" s="42">
        <v>0.93</v>
      </c>
      <c r="E8">
        <v>0.87</v>
      </c>
    </row>
    <row r="9" spans="1:5">
      <c r="A9" s="43">
        <v>46225.427083333336</v>
      </c>
      <c r="B9" s="42">
        <v>0.7</v>
      </c>
      <c r="C9" s="42">
        <v>0.96</v>
      </c>
      <c r="D9" s="42">
        <v>0.96</v>
      </c>
      <c r="E9">
        <v>0.92</v>
      </c>
    </row>
    <row r="10" spans="1:5">
      <c r="A10" s="43">
        <v>46225.447916666664</v>
      </c>
      <c r="B10" s="42">
        <v>0.8</v>
      </c>
      <c r="C10" s="42">
        <v>0.98</v>
      </c>
      <c r="D10" s="42">
        <v>0.99</v>
      </c>
      <c r="E10">
        <v>0.95</v>
      </c>
    </row>
    <row r="11" spans="1:5">
      <c r="A11" s="43">
        <v>46225.46875</v>
      </c>
      <c r="B11" s="42">
        <v>0.87</v>
      </c>
      <c r="C11" s="42">
        <v>1</v>
      </c>
      <c r="D11" s="42">
        <v>1</v>
      </c>
      <c r="E11">
        <v>0.97</v>
      </c>
    </row>
    <row r="12" spans="1:5">
      <c r="A12" s="43">
        <v>46225.489583333336</v>
      </c>
      <c r="B12" s="42">
        <v>0.93</v>
      </c>
      <c r="C12" s="42">
        <v>1</v>
      </c>
      <c r="D12" s="42">
        <v>1.02</v>
      </c>
      <c r="E12">
        <v>1</v>
      </c>
    </row>
    <row r="13" spans="1:5">
      <c r="A13" s="43">
        <v>46225.510416666664</v>
      </c>
      <c r="B13" s="42">
        <v>0.98</v>
      </c>
      <c r="C13" s="42">
        <v>0.99</v>
      </c>
      <c r="D13" s="42">
        <v>1.03</v>
      </c>
      <c r="E13">
        <v>1.02</v>
      </c>
    </row>
    <row r="14" spans="1:5">
      <c r="A14" s="43">
        <v>46225.53125</v>
      </c>
      <c r="B14" s="42">
        <v>0.99</v>
      </c>
      <c r="C14" s="42">
        <v>0.98</v>
      </c>
      <c r="D14" s="42">
        <v>1.03</v>
      </c>
      <c r="E14">
        <v>1.01</v>
      </c>
    </row>
    <row r="15" spans="1:5">
      <c r="A15" s="43">
        <v>46225.552083333336</v>
      </c>
      <c r="B15" s="42">
        <v>0.99</v>
      </c>
      <c r="C15" s="42">
        <v>0.99</v>
      </c>
      <c r="D15" s="42">
        <v>1.03</v>
      </c>
      <c r="E15">
        <v>1.02</v>
      </c>
    </row>
    <row r="16" spans="1:5">
      <c r="A16" s="43">
        <v>46225.572916666664</v>
      </c>
      <c r="B16" s="42">
        <v>0.97</v>
      </c>
      <c r="C16" s="42">
        <v>0.99</v>
      </c>
      <c r="D16" s="42">
        <v>1.02</v>
      </c>
      <c r="E16">
        <v>1</v>
      </c>
    </row>
    <row r="17" spans="1:5">
      <c r="A17" s="43">
        <v>46225.59375</v>
      </c>
      <c r="B17" s="42">
        <v>0.93</v>
      </c>
      <c r="C17" s="42">
        <v>1</v>
      </c>
      <c r="D17" s="42">
        <v>1.01</v>
      </c>
      <c r="E17">
        <v>0.99</v>
      </c>
    </row>
    <row r="18" spans="1:5">
      <c r="A18" s="43">
        <v>46225.614583333336</v>
      </c>
      <c r="B18" s="42">
        <v>0.88</v>
      </c>
      <c r="C18" s="42">
        <v>0.99</v>
      </c>
      <c r="D18" s="42">
        <v>0.97</v>
      </c>
      <c r="E18">
        <v>0.97</v>
      </c>
    </row>
    <row r="19" spans="1:5">
      <c r="A19" s="43">
        <v>46225.635416666664</v>
      </c>
      <c r="B19" s="42">
        <v>0.83</v>
      </c>
      <c r="C19" s="42">
        <v>0.98</v>
      </c>
      <c r="D19" s="42">
        <v>0.97</v>
      </c>
      <c r="E19">
        <v>0.95</v>
      </c>
    </row>
    <row r="20" spans="1:5">
      <c r="A20" s="43">
        <v>46225.65625</v>
      </c>
      <c r="B20" s="42">
        <v>0.75</v>
      </c>
      <c r="C20" s="42">
        <v>0.95</v>
      </c>
      <c r="D20" s="42">
        <v>0.95</v>
      </c>
      <c r="E20">
        <v>0.93</v>
      </c>
    </row>
    <row r="21" spans="1:5">
      <c r="A21" s="43">
        <v>46225.677083333336</v>
      </c>
      <c r="B21" s="42">
        <v>0.64</v>
      </c>
      <c r="C21" s="42">
        <v>0.93</v>
      </c>
      <c r="D21" s="42">
        <v>0.92</v>
      </c>
      <c r="E21">
        <v>0.89</v>
      </c>
    </row>
    <row r="22" spans="1:5">
      <c r="A22" s="43">
        <v>46225.697916666664</v>
      </c>
      <c r="B22" s="42">
        <v>0.53</v>
      </c>
      <c r="C22" s="42">
        <v>0.89</v>
      </c>
      <c r="D22" s="42">
        <v>0.88</v>
      </c>
      <c r="E22">
        <v>0.89</v>
      </c>
    </row>
    <row r="23" spans="1:5">
      <c r="A23" s="43">
        <v>46225.71875</v>
      </c>
      <c r="B23" s="42">
        <v>0.36</v>
      </c>
      <c r="C23" s="42">
        <v>0.89</v>
      </c>
      <c r="D23" s="42">
        <v>0.86</v>
      </c>
      <c r="E23">
        <v>0.83</v>
      </c>
    </row>
    <row r="24" spans="1:5">
      <c r="A24" s="43">
        <v>46225.739583333336</v>
      </c>
      <c r="B24" s="42">
        <v>0.28000000000000003</v>
      </c>
      <c r="C24" s="42">
        <v>0.84</v>
      </c>
      <c r="D24" s="42">
        <v>0.87</v>
      </c>
      <c r="E24">
        <v>0.75</v>
      </c>
    </row>
    <row r="25" spans="1:5">
      <c r="A25" s="43">
        <v>46225.760416666664</v>
      </c>
      <c r="B25" s="42">
        <v>0.16</v>
      </c>
      <c r="C25" s="42">
        <v>0.74</v>
      </c>
      <c r="D25" s="42">
        <v>0.78</v>
      </c>
      <c r="E25">
        <v>0.7</v>
      </c>
    </row>
    <row r="26" spans="1:5">
      <c r="A26" s="43">
        <v>0.78125</v>
      </c>
      <c r="B26" s="40">
        <v>0.05</v>
      </c>
      <c r="C26" s="42">
        <v>0.6</v>
      </c>
      <c r="D26" s="42">
        <v>0.62</v>
      </c>
    </row>
    <row r="27" spans="1:5">
      <c r="A27" s="43">
        <v>0.80208333333333337</v>
      </c>
      <c r="B27" s="42">
        <v>0.01</v>
      </c>
      <c r="C27" s="42">
        <v>0.3</v>
      </c>
      <c r="D27" s="42">
        <v>0.41</v>
      </c>
    </row>
    <row r="29" spans="1:5">
      <c r="A29" s="40" t="s">
        <v>35</v>
      </c>
      <c r="B29" s="42">
        <f>(B3+B2)/2*0.5</f>
        <v>8.7499999999999991E-3</v>
      </c>
      <c r="C29" s="42">
        <f>(C3+C2)/2*0.5</f>
        <v>0.1825</v>
      </c>
      <c r="D29" s="42">
        <f>(D3+D2)/2*0.5</f>
        <v>0.22500000000000001</v>
      </c>
    </row>
    <row r="30" spans="1:5">
      <c r="B30" s="42">
        <f t="shared" ref="B30:D53" si="0">(B4+B3)/2*0.5</f>
        <v>0.04</v>
      </c>
      <c r="C30" s="42">
        <f t="shared" si="0"/>
        <v>0.29249999999999998</v>
      </c>
      <c r="D30" s="42">
        <f t="shared" si="0"/>
        <v>0.32250000000000001</v>
      </c>
    </row>
    <row r="31" spans="1:5">
      <c r="B31" s="42">
        <f t="shared" si="0"/>
        <v>0.09</v>
      </c>
      <c r="C31" s="42">
        <f t="shared" si="0"/>
        <v>0.36</v>
      </c>
      <c r="D31" s="42">
        <f t="shared" si="0"/>
        <v>0.39500000000000002</v>
      </c>
    </row>
    <row r="32" spans="1:5">
      <c r="B32" s="42">
        <f t="shared" si="0"/>
        <v>0.15</v>
      </c>
      <c r="C32" s="42">
        <f t="shared" si="0"/>
        <v>0.40500000000000003</v>
      </c>
      <c r="D32" s="42">
        <f t="shared" si="0"/>
        <v>0.42499999999999999</v>
      </c>
    </row>
    <row r="33" spans="2:4">
      <c r="B33" s="42">
        <f t="shared" si="0"/>
        <v>0.215</v>
      </c>
      <c r="C33" s="42">
        <f t="shared" si="0"/>
        <v>0.435</v>
      </c>
      <c r="D33" s="42">
        <f t="shared" si="0"/>
        <v>0.44</v>
      </c>
    </row>
    <row r="34" spans="2:4">
      <c r="B34" s="42">
        <f t="shared" si="0"/>
        <v>0.27249999999999996</v>
      </c>
      <c r="C34" s="42">
        <f t="shared" si="0"/>
        <v>0.45750000000000002</v>
      </c>
      <c r="D34" s="42">
        <f t="shared" si="0"/>
        <v>0.45750000000000002</v>
      </c>
    </row>
    <row r="35" spans="2:4">
      <c r="B35" s="42">
        <f t="shared" si="0"/>
        <v>0.32499999999999996</v>
      </c>
      <c r="C35" s="42">
        <f t="shared" si="0"/>
        <v>0.47499999999999998</v>
      </c>
      <c r="D35" s="42">
        <f t="shared" si="0"/>
        <v>0.47250000000000003</v>
      </c>
    </row>
    <row r="36" spans="2:4">
      <c r="B36" s="42">
        <f t="shared" si="0"/>
        <v>0.375</v>
      </c>
      <c r="C36" s="42">
        <f t="shared" si="0"/>
        <v>0.48499999999999999</v>
      </c>
      <c r="D36" s="42">
        <f t="shared" si="0"/>
        <v>0.48749999999999999</v>
      </c>
    </row>
    <row r="37" spans="2:4">
      <c r="B37" s="42">
        <f t="shared" si="0"/>
        <v>0.41749999999999998</v>
      </c>
      <c r="C37" s="42">
        <f t="shared" si="0"/>
        <v>0.495</v>
      </c>
      <c r="D37" s="42">
        <f t="shared" si="0"/>
        <v>0.4975</v>
      </c>
    </row>
    <row r="38" spans="2:4">
      <c r="B38" s="42">
        <f t="shared" si="0"/>
        <v>0.45</v>
      </c>
      <c r="C38" s="42">
        <f t="shared" si="0"/>
        <v>0.5</v>
      </c>
      <c r="D38" s="42">
        <f t="shared" si="0"/>
        <v>0.505</v>
      </c>
    </row>
    <row r="39" spans="2:4">
      <c r="B39" s="42">
        <f t="shared" si="0"/>
        <v>0.47750000000000004</v>
      </c>
      <c r="C39" s="42">
        <f t="shared" si="0"/>
        <v>0.4975</v>
      </c>
      <c r="D39" s="42">
        <f t="shared" si="0"/>
        <v>0.51249999999999996</v>
      </c>
    </row>
    <row r="40" spans="2:4">
      <c r="B40" s="42">
        <f t="shared" si="0"/>
        <v>0.49249999999999999</v>
      </c>
      <c r="C40" s="42">
        <f t="shared" si="0"/>
        <v>0.49249999999999999</v>
      </c>
      <c r="D40" s="42">
        <f t="shared" si="0"/>
        <v>0.51500000000000001</v>
      </c>
    </row>
    <row r="41" spans="2:4">
      <c r="B41" s="42">
        <f t="shared" si="0"/>
        <v>0.495</v>
      </c>
      <c r="C41" s="42">
        <f t="shared" si="0"/>
        <v>0.49249999999999999</v>
      </c>
      <c r="D41" s="42">
        <f t="shared" si="0"/>
        <v>0.51500000000000001</v>
      </c>
    </row>
    <row r="42" spans="2:4">
      <c r="B42" s="42">
        <f t="shared" si="0"/>
        <v>0.49</v>
      </c>
      <c r="C42" s="42">
        <f t="shared" si="0"/>
        <v>0.495</v>
      </c>
      <c r="D42" s="42">
        <f t="shared" si="0"/>
        <v>0.51249999999999996</v>
      </c>
    </row>
    <row r="43" spans="2:4">
      <c r="B43" s="42">
        <f t="shared" si="0"/>
        <v>0.47499999999999998</v>
      </c>
      <c r="C43" s="42">
        <f t="shared" si="0"/>
        <v>0.4975</v>
      </c>
      <c r="D43" s="42">
        <f t="shared" si="0"/>
        <v>0.50750000000000006</v>
      </c>
    </row>
    <row r="44" spans="2:4">
      <c r="B44" s="42">
        <f t="shared" si="0"/>
        <v>0.45250000000000001</v>
      </c>
      <c r="C44" s="42">
        <f t="shared" si="0"/>
        <v>0.4975</v>
      </c>
      <c r="D44" s="42">
        <f t="shared" si="0"/>
        <v>0.495</v>
      </c>
    </row>
    <row r="45" spans="2:4">
      <c r="B45" s="42">
        <f t="shared" si="0"/>
        <v>0.42749999999999999</v>
      </c>
      <c r="C45" s="42">
        <f t="shared" si="0"/>
        <v>0.49249999999999999</v>
      </c>
      <c r="D45" s="42">
        <f t="shared" si="0"/>
        <v>0.48499999999999999</v>
      </c>
    </row>
    <row r="46" spans="2:4">
      <c r="B46" s="42">
        <f t="shared" si="0"/>
        <v>0.39500000000000002</v>
      </c>
      <c r="C46" s="42">
        <f t="shared" si="0"/>
        <v>0.48249999999999998</v>
      </c>
      <c r="D46" s="42">
        <f t="shared" si="0"/>
        <v>0.48</v>
      </c>
    </row>
    <row r="47" spans="2:4">
      <c r="B47" s="42">
        <f t="shared" si="0"/>
        <v>0.34750000000000003</v>
      </c>
      <c r="C47" s="42">
        <f t="shared" si="0"/>
        <v>0.47</v>
      </c>
      <c r="D47" s="42">
        <f t="shared" si="0"/>
        <v>0.46750000000000003</v>
      </c>
    </row>
    <row r="48" spans="2:4">
      <c r="B48" s="42">
        <f t="shared" si="0"/>
        <v>0.29249999999999998</v>
      </c>
      <c r="C48" s="42">
        <f t="shared" si="0"/>
        <v>0.45500000000000002</v>
      </c>
      <c r="D48" s="42">
        <f t="shared" si="0"/>
        <v>0.45</v>
      </c>
    </row>
    <row r="49" spans="1:4">
      <c r="B49" s="42">
        <f t="shared" si="0"/>
        <v>0.2225</v>
      </c>
      <c r="C49" s="42">
        <f t="shared" si="0"/>
        <v>0.44500000000000001</v>
      </c>
      <c r="D49" s="42">
        <f t="shared" si="0"/>
        <v>0.435</v>
      </c>
    </row>
    <row r="50" spans="1:4">
      <c r="B50" s="42">
        <f t="shared" si="0"/>
        <v>0.16</v>
      </c>
      <c r="C50" s="42">
        <f t="shared" si="0"/>
        <v>0.4325</v>
      </c>
      <c r="D50" s="42">
        <f t="shared" si="0"/>
        <v>0.4325</v>
      </c>
    </row>
    <row r="51" spans="1:4">
      <c r="B51" s="42">
        <f t="shared" si="0"/>
        <v>0.11000000000000001</v>
      </c>
      <c r="C51" s="42">
        <f t="shared" si="0"/>
        <v>0.39500000000000002</v>
      </c>
      <c r="D51" s="42">
        <f t="shared" si="0"/>
        <v>0.41249999999999998</v>
      </c>
    </row>
    <row r="52" spans="1:4">
      <c r="B52" s="42">
        <f t="shared" si="0"/>
        <v>5.2500000000000005E-2</v>
      </c>
      <c r="C52" s="42">
        <f t="shared" si="0"/>
        <v>0.33499999999999996</v>
      </c>
      <c r="D52" s="42">
        <f t="shared" si="0"/>
        <v>0.35</v>
      </c>
    </row>
    <row r="53" spans="1:4">
      <c r="B53" s="42">
        <f t="shared" si="0"/>
        <v>1.5000000000000001E-2</v>
      </c>
      <c r="C53" s="42">
        <f t="shared" si="0"/>
        <v>0.22499999999999998</v>
      </c>
      <c r="D53" s="42">
        <f t="shared" si="0"/>
        <v>0.25750000000000001</v>
      </c>
    </row>
    <row r="54" spans="1:4">
      <c r="A54" s="40" t="s">
        <v>36</v>
      </c>
      <c r="B54" s="42">
        <f>SUM(B29:B53)</f>
        <v>7.2487500000000011</v>
      </c>
      <c r="C54" s="42">
        <f>SUM(C29:C53)</f>
        <v>10.792499999999999</v>
      </c>
      <c r="D54" s="42">
        <f>SUM(D29:D53)</f>
        <v>11.054999999999998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Export Summary</vt:lpstr>
      <vt:lpstr>Sheet 1 - 12V 10Ah LFP Discharg</vt:lpstr>
      <vt:lpstr>Sheet 1-1 - 12V 10Ah LFP Discha</vt:lpstr>
      <vt:lpstr>Solar Panel Comparisons - Solar</vt:lpstr>
      <vt:lpstr>Riemann Sum - Midpoint Riemann </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FukangJiang</dc:creator>
  <cp:lastModifiedBy>Luke Jiang</cp:lastModifiedBy>
  <dcterms:created xsi:type="dcterms:W3CDTF">2026-07-23T13:51:53Z</dcterms:created>
  <dcterms:modified xsi:type="dcterms:W3CDTF">2026-10-12T23:42:50Z</dcterms:modified>
</cp:coreProperties>
</file>